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2F7F5AA1-A687-43F5-9DDB-67FD56DF6064}" xr6:coauthVersionLast="47" xr6:coauthVersionMax="47" xr10:uidLastSave="{00000000-0000-0000-0000-000000000000}"/>
  <bookViews>
    <workbookView xWindow="-135" yWindow="-135" windowWidth="29070" windowHeight="15750" activeTab="6"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6" l="1"/>
  <c r="B12" i="6"/>
  <c r="B11" i="6"/>
  <c r="B10" i="6"/>
  <c r="B9" i="6"/>
  <c r="B8" i="6"/>
  <c r="B7" i="6"/>
  <c r="B17" i="4"/>
  <c r="B16" i="4"/>
  <c r="B15" i="4"/>
  <c r="B14" i="4"/>
  <c r="B13" i="4"/>
  <c r="B7" i="2"/>
  <c r="B8" i="5"/>
  <c r="B7" i="5"/>
  <c r="B8" i="9"/>
  <c r="B7" i="9"/>
  <c r="B6" i="9"/>
  <c r="B5" i="9"/>
  <c r="E1" i="9"/>
  <c r="B4" i="9"/>
  <c r="E1" i="15"/>
  <c r="B25" i="8"/>
  <c r="B23" i="8"/>
  <c r="B22" i="8"/>
  <c r="B21" i="8"/>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12" i="4"/>
  <c r="B4" i="6"/>
  <c r="B5" i="6" s="1"/>
  <c r="B6" i="6" s="1"/>
  <c r="B11" i="4"/>
  <c r="B10" i="4"/>
  <c r="B9" i="4"/>
  <c r="B5" i="2"/>
  <c r="B8" i="4"/>
  <c r="B7" i="4"/>
  <c r="B6" i="4"/>
  <c r="B5" i="4"/>
  <c r="B24" i="8" l="1"/>
  <c r="B9" i="5"/>
  <c r="B10" i="5" s="1"/>
  <c r="B11" i="5" s="1"/>
  <c r="B12" i="5" s="1"/>
</calcChain>
</file>

<file path=xl/sharedStrings.xml><?xml version="1.0" encoding="utf-8"?>
<sst xmlns="http://schemas.openxmlformats.org/spreadsheetml/2006/main" count="306" uniqueCount="248">
  <si>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</si>
  <si>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</si>
  <si>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</si>
  <si>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</si>
  <si>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</si>
  <si>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</si>
  <si>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</si>
  <si>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</si>
  <si>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</si>
  <si>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</si>
  <si>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</si>
  <si>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</si>
  <si>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</si>
  <si>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</si>
  <si>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</si>
  <si>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</si>
  <si>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</si>
  <si>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</si>
  <si>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</si>
  <si>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</si>
  <si>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</si>
  <si>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</si>
  <si>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</si>
  <si>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</si>
  <si>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</si>
  <si>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</si>
  <si>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</si>
  <si>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</si>
  <si>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</si>
  <si>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</si>
  <si>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</si>
  <si>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</si>
  <si>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</si>
  <si>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</si>
  <si>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</si>
  <si>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</si>
  <si>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</si>
  <si>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</si>
  <si>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</si>
  <si>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</si>
  <si>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</si>
  <si>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</si>
  <si>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</si>
  <si>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</si>
  <si>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</si>
  <si>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</si>
  <si>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</si>
  <si>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</si>
  <si>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</si>
  <si>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</si>
  <si>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</si>
  <si>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</si>
  <si>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</si>
  <si>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</si>
  <si>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</si>
  <si>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</si>
  <si>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</si>
  <si>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</si>
  <si>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</si>
  <si>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</si>
  <si>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</si>
  <si>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</si>
  <si>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</si>
  <si>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</si>
  <si>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</si>
  <si>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</si>
  <si>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</si>
  <si>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</si>
  <si>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</si>
  <si>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</si>
  <si>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</si>
  <si>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</si>
  <si>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</si>
  <si>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</si>
  <si>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</si>
  <si>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</si>
  <si>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</si>
  <si>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</si>
  <si>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</si>
  <si>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</si>
  <si>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</si>
  <si>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</si>
  <si>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</si>
  <si>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</si>
  <si>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</si>
  <si>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</si>
  <si>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</si>
  <si>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</si>
  <si>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</si>
  <si>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</si>
  <si>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</si>
  <si>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</si>
  <si>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</si>
  <si>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</si>
  <si>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</si>
  <si>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</si>
  <si>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</si>
  <si>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</si>
  <si>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</si>
  <si>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</si>
  <si>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</si>
  <si>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</si>
  <si>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</si>
  <si>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</si>
  <si>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</si>
  <si>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</si>
  <si>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</si>
  <si>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</si>
  <si>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</si>
  <si>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</si>
  <si>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</si>
  <si>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</si>
  <si>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</si>
  <si>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</si>
  <si>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</si>
  <si>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</si>
  <si>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</si>
  <si>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</si>
  <si>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</si>
  <si>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</si>
  <si>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</si>
  <si>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</si>
  <si>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</si>
  <si>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</si>
  <si>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</si>
  <si>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</si>
  <si>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</si>
  <si>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</si>
  <si>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</si>
  <si>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</si>
  <si>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</si>
  <si>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</si>
  <si>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</si>
  <si>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</si>
  <si>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</si>
  <si>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</si>
  <si>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</si>
  <si>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</si>
  <si>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</si>
  <si>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</si>
  <si>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</si>
  <si>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</si>
  <si>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</si>
  <si>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</si>
  <si>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</si>
  <si>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</si>
  <si>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</si>
  <si>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</si>
  <si>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</si>
  <si>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</si>
  <si>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</si>
  <si>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</si>
  <si>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</si>
  <si>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</si>
  <si>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</si>
  <si>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</si>
  <si>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</si>
  <si>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</si>
  <si>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</si>
  <si>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</si>
  <si>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</si>
  <si>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</si>
  <si>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</si>
  <si>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</si>
  <si>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</si>
  <si>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</si>
  <si>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</si>
  <si>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</si>
  <si>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</si>
  <si>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</si>
  <si>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</si>
  <si>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</si>
  <si>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</si>
  <si>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</si>
  <si>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</si>
  <si>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</si>
  <si>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</si>
  <si>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</si>
  <si>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</si>
  <si>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</si>
  <si>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</si>
  <si>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</si>
  <si>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</si>
  <si>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</si>
  <si>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</si>
  <si>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</si>
  <si>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</si>
  <si>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</si>
  <si>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</si>
  <si>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</si>
  <si>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</si>
  <si>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</si>
  <si>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</si>
  <si>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</si>
  <si>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</si>
  <si>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</si>
  <si>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</si>
  <si>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</si>
  <si>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</si>
  <si>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</si>
  <si>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</si>
  <si>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</si>
  <si>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</si>
  <si>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</si>
  <si>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</si>
  <si>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</si>
  <si>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</si>
  <si>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</si>
  <si>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</si>
  <si>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</si>
  <si>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</si>
  <si>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</si>
  <si>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</si>
  <si>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</si>
  <si>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</si>
  <si>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</si>
  <si>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</si>
  <si>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</si>
  <si>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</si>
  <si>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</si>
  <si>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</si>
  <si>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</si>
  <si>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</si>
  <si>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</si>
  <si>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</si>
  <si>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</si>
  <si>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flutter clean
flutter pub get
dart fix --apply
dart format .
flutter analyze
deno lint supabase
dart run build_runner build --delete-conflicting-outputs
flutter test --coverage
supabase functions deploy ai-assistant
flutter build web --release --no-tree-shake-icons</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</si>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</sst>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7"/>
  <sheetViews>
    <sheetView topLeftCell="A7" workbookViewId="0">
      <selection activeCell="C20" sqref="C2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87.5">
      <c r="B10">
        <f>B9+1</f>
        <v>7</v>
      </c>
      <c r="C10" s="1" t="s">
        <v>226</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T13"/>
  <sheetViews>
    <sheetView tabSelected="1" topLeftCell="A5" zoomScale="85" zoomScaleNormal="85" workbookViewId="0">
      <selection activeCell="B13" sqref="B1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34.25" customWidth="1"/>
    <col min="8" max="8" width="26" bestFit="1" customWidth="1"/>
    <col min="9" max="9" width="8.125" bestFit="1" customWidth="1"/>
    <col min="10" max="10" width="32.625" bestFit="1" customWidth="1"/>
    <col min="11" max="11" width="16.125" bestFit="1" customWidth="1"/>
    <col min="12" max="12" width="75.5" bestFit="1" customWidth="1"/>
    <col min="13" max="13" width="65.75" bestFit="1" customWidth="1"/>
    <col min="14" max="14" width="65.75" customWidth="1"/>
    <col min="15" max="15" width="50.125" bestFit="1" customWidth="1"/>
    <col min="16" max="17" width="50.125" customWidth="1"/>
    <col min="18" max="18" width="10.25" bestFit="1" customWidth="1"/>
    <col min="19" max="19" width="47" customWidth="1"/>
    <col min="20" max="20" width="10.25" bestFit="1" customWidth="1"/>
  </cols>
  <sheetData>
    <row r="2" spans="2:20">
      <c r="F2" t="s">
        <v>239</v>
      </c>
      <c r="G2" t="s">
        <v>238</v>
      </c>
      <c r="H2" t="s">
        <v>185</v>
      </c>
      <c r="I2" t="s">
        <v>187</v>
      </c>
      <c r="J2" t="s">
        <v>189</v>
      </c>
      <c r="K2" t="s">
        <v>191</v>
      </c>
      <c r="L2" t="s">
        <v>193</v>
      </c>
      <c r="M2" t="s">
        <v>195</v>
      </c>
      <c r="O2" t="s">
        <v>198</v>
      </c>
      <c r="P2" t="s">
        <v>211</v>
      </c>
      <c r="Q2" t="s">
        <v>213</v>
      </c>
      <c r="R2" t="s">
        <v>1</v>
      </c>
      <c r="S2" t="s">
        <v>220</v>
      </c>
      <c r="T2" t="s">
        <v>2</v>
      </c>
    </row>
    <row r="3" spans="2:20" ht="225">
      <c r="B3">
        <v>1</v>
      </c>
      <c r="C3" t="s">
        <v>15</v>
      </c>
      <c r="D3" t="s">
        <v>207</v>
      </c>
      <c r="E3" s="1" t="s">
        <v>208</v>
      </c>
      <c r="F3" s="1" t="s">
        <v>240</v>
      </c>
      <c r="G3" s="1"/>
      <c r="H3" t="s">
        <v>186</v>
      </c>
      <c r="I3" t="s">
        <v>188</v>
      </c>
      <c r="J3" t="s">
        <v>190</v>
      </c>
      <c r="K3" t="s">
        <v>192</v>
      </c>
      <c r="L3" s="1" t="s">
        <v>194</v>
      </c>
      <c r="M3" s="1" t="s">
        <v>196</v>
      </c>
      <c r="N3" s="1" t="s">
        <v>197</v>
      </c>
      <c r="O3" s="1" t="s">
        <v>202</v>
      </c>
      <c r="P3" s="1" t="s">
        <v>203</v>
      </c>
      <c r="Q3" s="1" t="s">
        <v>214</v>
      </c>
      <c r="R3" s="3">
        <v>46036</v>
      </c>
      <c r="S3" s="3"/>
      <c r="T3" s="3">
        <v>46036</v>
      </c>
    </row>
    <row r="4" spans="2:20" ht="375">
      <c r="B4">
        <f>B3+1</f>
        <v>2</v>
      </c>
      <c r="C4" t="s">
        <v>16</v>
      </c>
      <c r="D4" t="s">
        <v>201</v>
      </c>
      <c r="E4" s="1" t="s">
        <v>209</v>
      </c>
      <c r="F4" s="1" t="s">
        <v>240</v>
      </c>
      <c r="G4" s="1"/>
      <c r="H4" t="s">
        <v>186</v>
      </c>
      <c r="I4" t="s">
        <v>188</v>
      </c>
      <c r="J4" t="s">
        <v>190</v>
      </c>
      <c r="K4" t="s">
        <v>192</v>
      </c>
      <c r="L4" s="1" t="s">
        <v>194</v>
      </c>
      <c r="M4" s="1" t="s">
        <v>196</v>
      </c>
      <c r="N4" s="1" t="s">
        <v>197</v>
      </c>
      <c r="O4" s="1" t="s">
        <v>199</v>
      </c>
      <c r="P4" s="1" t="s">
        <v>200</v>
      </c>
      <c r="Q4" s="1" t="s">
        <v>214</v>
      </c>
      <c r="R4" s="3">
        <v>46036</v>
      </c>
      <c r="S4" s="1" t="s">
        <v>237</v>
      </c>
      <c r="T4" s="3">
        <v>46036</v>
      </c>
    </row>
    <row r="5" spans="2:20" ht="206.25">
      <c r="B5">
        <f>B4+1</f>
        <v>3</v>
      </c>
      <c r="C5" t="s">
        <v>204</v>
      </c>
      <c r="D5" t="s">
        <v>206</v>
      </c>
      <c r="E5" s="1" t="s">
        <v>205</v>
      </c>
      <c r="F5" s="1" t="s">
        <v>240</v>
      </c>
      <c r="G5" s="1"/>
      <c r="H5" t="s">
        <v>186</v>
      </c>
      <c r="I5" t="s">
        <v>188</v>
      </c>
      <c r="J5" t="s">
        <v>190</v>
      </c>
      <c r="K5" t="s">
        <v>192</v>
      </c>
      <c r="L5" s="1" t="s">
        <v>194</v>
      </c>
      <c r="M5" s="1" t="s">
        <v>196</v>
      </c>
      <c r="N5" s="1" t="s">
        <v>197</v>
      </c>
      <c r="O5" s="1" t="s">
        <v>210</v>
      </c>
      <c r="P5" s="1" t="s">
        <v>212</v>
      </c>
      <c r="Q5" s="1" t="s">
        <v>214</v>
      </c>
      <c r="R5" s="3">
        <v>46039</v>
      </c>
    </row>
    <row r="6" spans="2:20" ht="337.5">
      <c r="B6">
        <f>B5+1</f>
        <v>4</v>
      </c>
      <c r="C6" t="s">
        <v>215</v>
      </c>
      <c r="D6" t="s">
        <v>216</v>
      </c>
      <c r="E6" s="1" t="s">
        <v>217</v>
      </c>
      <c r="F6" s="1" t="s">
        <v>240</v>
      </c>
      <c r="G6" s="1"/>
      <c r="H6" t="s">
        <v>186</v>
      </c>
      <c r="I6" t="s">
        <v>188</v>
      </c>
      <c r="J6" t="s">
        <v>190</v>
      </c>
      <c r="K6" t="s">
        <v>192</v>
      </c>
      <c r="L6" s="1" t="s">
        <v>194</v>
      </c>
      <c r="M6" s="1" t="s">
        <v>196</v>
      </c>
      <c r="N6" s="1" t="s">
        <v>197</v>
      </c>
      <c r="O6" s="1" t="s">
        <v>218</v>
      </c>
      <c r="P6" s="1" t="s">
        <v>219</v>
      </c>
      <c r="Q6" s="1" t="s">
        <v>214</v>
      </c>
      <c r="R6" s="3">
        <v>46039</v>
      </c>
    </row>
    <row r="7" spans="2:20">
      <c r="B7">
        <f>B6+1</f>
        <v>5</v>
      </c>
      <c r="F7" s="1" t="s">
        <v>241</v>
      </c>
    </row>
    <row r="8" spans="2:20">
      <c r="B8">
        <f>B7+1</f>
        <v>6</v>
      </c>
      <c r="F8" s="1" t="s">
        <v>242</v>
      </c>
    </row>
    <row r="9" spans="2:20">
      <c r="B9">
        <f>B8+1</f>
        <v>7</v>
      </c>
      <c r="F9" s="1" t="s">
        <v>243</v>
      </c>
    </row>
    <row r="10" spans="2:20" ht="37.5">
      <c r="B10">
        <f>B9+1</f>
        <v>8</v>
      </c>
      <c r="F10" s="1" t="s">
        <v>244</v>
      </c>
    </row>
    <row r="11" spans="2:20">
      <c r="B11">
        <f>B10+1</f>
        <v>9</v>
      </c>
      <c r="F11" s="1" t="s">
        <v>245</v>
      </c>
    </row>
    <row r="12" spans="2:20">
      <c r="B12">
        <f>B11+1</f>
        <v>10</v>
      </c>
      <c r="F12" s="1" t="s">
        <v>246</v>
      </c>
    </row>
    <row r="13" spans="2:20">
      <c r="B13">
        <f>B12+1</f>
        <v>11</v>
      </c>
      <c r="F13" s="1" t="s">
        <v>247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G8" sqref="G8"/>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B6+1</f>
        <v>5</v>
      </c>
      <c r="C7" t="s">
        <v>26</v>
      </c>
      <c r="D7" t="s">
        <v>27</v>
      </c>
      <c r="F7" s="3">
        <v>46036</v>
      </c>
      <c r="G7" s="3">
        <v>46036</v>
      </c>
    </row>
    <row r="8" spans="2:9">
      <c r="B8">
        <f>B7+1</f>
        <v>6</v>
      </c>
      <c r="D8" t="s">
        <v>28</v>
      </c>
      <c r="E8" t="s">
        <v>111</v>
      </c>
      <c r="F8" s="3">
        <v>46038</v>
      </c>
    </row>
    <row r="9" spans="2:9">
      <c r="B9">
        <f>B8+1</f>
        <v>7</v>
      </c>
      <c r="D9" t="s">
        <v>29</v>
      </c>
    </row>
    <row r="10" spans="2:9">
      <c r="B10">
        <f>B9+1</f>
        <v>8</v>
      </c>
      <c r="C10" t="s">
        <v>30</v>
      </c>
      <c r="D10" t="s">
        <v>31</v>
      </c>
      <c r="F10" s="3">
        <v>46036</v>
      </c>
      <c r="G10" s="3">
        <v>46036</v>
      </c>
    </row>
    <row r="11" spans="2:9">
      <c r="B11">
        <f>B10+1</f>
        <v>9</v>
      </c>
      <c r="D11" t="s">
        <v>32</v>
      </c>
    </row>
    <row r="12" spans="2:9">
      <c r="B12">
        <f>B11+1</f>
        <v>10</v>
      </c>
      <c r="D12" t="s">
        <v>33</v>
      </c>
    </row>
    <row r="13" spans="2:9">
      <c r="B13">
        <f>B12+1</f>
        <v>11</v>
      </c>
      <c r="C13" t="s">
        <v>34</v>
      </c>
      <c r="D13" t="s">
        <v>35</v>
      </c>
      <c r="F13" s="3">
        <v>46036</v>
      </c>
      <c r="G13" s="3">
        <v>46036</v>
      </c>
    </row>
    <row r="14" spans="2:9">
      <c r="B14">
        <f>B13+1</f>
        <v>12</v>
      </c>
      <c r="D14" t="s">
        <v>36</v>
      </c>
    </row>
    <row r="15" spans="2:9">
      <c r="B15">
        <f>B14+1</f>
        <v>13</v>
      </c>
      <c r="D15" t="s">
        <v>37</v>
      </c>
    </row>
    <row r="16" spans="2:9">
      <c r="B16">
        <f>B15+1</f>
        <v>14</v>
      </c>
      <c r="C16" t="s">
        <v>38</v>
      </c>
      <c r="D16" t="s">
        <v>101</v>
      </c>
    </row>
    <row r="17" spans="2:9">
      <c r="B17">
        <f>B16+1</f>
        <v>15</v>
      </c>
      <c r="D17" t="s">
        <v>102</v>
      </c>
    </row>
    <row r="18" spans="2:9">
      <c r="B18">
        <f>B17+1</f>
        <v>16</v>
      </c>
      <c r="D18" t="s">
        <v>103</v>
      </c>
    </row>
    <row r="19" spans="2:9">
      <c r="B19">
        <f>B18+1</f>
        <v>17</v>
      </c>
      <c r="C19" t="s">
        <v>39</v>
      </c>
      <c r="D19" t="s">
        <v>104</v>
      </c>
      <c r="E19" t="s">
        <v>105</v>
      </c>
    </row>
    <row r="20" spans="2:9">
      <c r="B20">
        <f>B19+1</f>
        <v>18</v>
      </c>
      <c r="E20" t="s">
        <v>106</v>
      </c>
    </row>
    <row r="21" spans="2:9">
      <c r="B21">
        <f>B20+1</f>
        <v>19</v>
      </c>
      <c r="E21" t="s">
        <v>107</v>
      </c>
    </row>
    <row r="22" spans="2:9">
      <c r="B22">
        <f>B21+1</f>
        <v>20</v>
      </c>
      <c r="E22" t="s">
        <v>108</v>
      </c>
    </row>
    <row r="23" spans="2:9">
      <c r="B23">
        <f>B22+1</f>
        <v>21</v>
      </c>
      <c r="C23" t="s">
        <v>40</v>
      </c>
    </row>
    <row r="24" spans="2:9">
      <c r="B24">
        <f>B23+1</f>
        <v>22</v>
      </c>
      <c r="C24" t="s">
        <v>41</v>
      </c>
      <c r="D24" t="s">
        <v>109</v>
      </c>
      <c r="F24" s="3">
        <v>46037</v>
      </c>
      <c r="G24" s="3">
        <v>46037</v>
      </c>
      <c r="H24" s="3">
        <v>46037</v>
      </c>
      <c r="I24" s="3">
        <v>46038</v>
      </c>
    </row>
    <row r="25" spans="2:9">
      <c r="B25">
        <f>B24+1</f>
        <v>23</v>
      </c>
      <c r="D25"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E1" sqref="E1"/>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46039</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C6" sqref="C6"/>
    </sheetView>
  </sheetViews>
  <sheetFormatPr defaultRowHeight="18.75"/>
  <cols>
    <col min="2" max="2" width="3.5" bestFit="1" customWidth="1"/>
    <col min="3" max="3" width="18.75" bestFit="1" customWidth="1"/>
    <col min="5" max="6" width="10.25" bestFit="1" customWidth="1"/>
  </cols>
  <sheetData>
    <row r="1" spans="2:8">
      <c r="E1" s="3">
        <f ca="1">TODAY()</f>
        <v>46039</v>
      </c>
    </row>
    <row r="2" spans="2:8">
      <c r="E2" t="s">
        <v>1</v>
      </c>
      <c r="F2" t="s">
        <v>2</v>
      </c>
      <c r="G2" t="s">
        <v>43</v>
      </c>
      <c r="H2" t="s">
        <v>44</v>
      </c>
    </row>
    <row r="3" spans="2:8">
      <c r="B3">
        <v>1</v>
      </c>
      <c r="C3" t="s">
        <v>48</v>
      </c>
      <c r="E3" s="3"/>
      <c r="F3" s="3"/>
    </row>
    <row r="4" spans="2:8">
      <c r="B4">
        <f>B3+1</f>
        <v>2</v>
      </c>
      <c r="C4" t="s">
        <v>49</v>
      </c>
      <c r="E4" s="3"/>
      <c r="F4" s="3"/>
    </row>
    <row r="5" spans="2:8">
      <c r="B5">
        <f>B4+1</f>
        <v>3</v>
      </c>
      <c r="C5" t="s">
        <v>50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2"/>
  <sheetViews>
    <sheetView workbookViewId="0">
      <selection activeCell="E1" sqref="E1"/>
    </sheetView>
  </sheetViews>
  <sheetFormatPr defaultRowHeight="18.75"/>
  <cols>
    <col min="2" max="2" width="42.5" customWidth="1"/>
    <col min="3" max="3" width="43.5" customWidth="1"/>
    <col min="5" max="5" width="10.25" bestFit="1" customWidth="1"/>
  </cols>
  <sheetData>
    <row r="1" spans="2:5">
      <c r="E1" s="3">
        <f ca="1">TODAY()</f>
        <v>46039</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46039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227</v>
      </c>
      <c r="C15" s="1" t="s">
        <v>228</v>
      </c>
    </row>
    <row r="16" spans="2:5" ht="56.25">
      <c r="B16" s="1" t="s">
        <v>229</v>
      </c>
      <c r="C16" s="1" t="s">
        <v>230</v>
      </c>
    </row>
    <row r="17" spans="2:3">
      <c r="B17" s="1" t="s">
        <v>231</v>
      </c>
      <c r="C17" s="1" t="s">
        <v>232</v>
      </c>
    </row>
    <row r="18" spans="2:3">
      <c r="B18" s="1" t="s">
        <v>233</v>
      </c>
      <c r="C18" s="1" t="s">
        <v>234</v>
      </c>
    </row>
    <row r="19" spans="2:3">
      <c r="B19" s="1" t="s">
        <v>235</v>
      </c>
      <c r="C19" s="1" t="s">
        <v>236</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2026-01-16T18:39:31Z</dcterms:modified>
</cp:coreProperties>
</file>