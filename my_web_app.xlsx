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60019DA7-658C-4300-B801-969F71CBB334}" xr6:coauthVersionLast="47" xr6:coauthVersionMax="47" xr10:uidLastSave="{00000000-0000-0000-0000-000000000000}"/>
  <bookViews>
    <workbookView xWindow="-120" yWindow="-120" windowWidth="29040" windowHeight="15720" firstSheet="15" activeTab="2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Gemini Code Assist" sheetId="15" r:id="rId16"/>
    <sheet name="Gemini Code Assist 2" sheetId="18" r:id="rId17"/>
    <sheet name="CodeX" sheetId="23" r:id="rId18"/>
    <sheet name="How to fix" sheetId="16" r:id="rId19"/>
    <sheet name="1日で人生を立て直す方法" sheetId="14" r:id="rId20"/>
    <sheet name="x" sheetId="20" r:id="rId21"/>
    <sheet name="X2" sheetId="21" r:id="rId22"/>
    <sheet name="時記" sheetId="22" r:id="rId23"/>
    <sheet name="登録者数を増やす" sheetId="24" r:id="rId24"/>
  </sheets>
  <definedNames>
    <definedName name="_xlnm._FilterDatabase" localSheetId="20" hidden="1">x!$C$2:$M$263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<sst xmlns="http://schemas.openxmlformats.org/spreadsheetml/2006/main" count="1727" uniqueCount="1064">
  <si>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</si>
  <si>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</si>
  <si>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</si>
  <si>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</si>
  <si>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</si>
  <si>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</si>
  <si>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</si>
  <si>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</si>
  <si>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</si>
  <si>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</si>
  <si>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</si>
  <si>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</si>
  <si>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</si>
  <si>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</si>
  <si>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</si>
  <si>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</si>
  <si>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</si>
  <si>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</si>
  <si>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</si>
  <si>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</si>
  <si>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</si>
  <si>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</si>
  <si>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</si>
  <si>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</si>
  <si>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</si>
  <si>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</si>
  <si>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</si>
  <si>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</si>
  <si>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</si>
  <si>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</si>
  <si>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</si>
  <si>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</si>
  <si>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</si>
  <si>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</si>
  <si>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</si>
  <si>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</si>
  <si>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</si>
  <si>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</si>
  <si>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</si>
  <si>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</si>
  <si>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</si>
  <si>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</si>
  <si>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</si>
  <si>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</si>
  <si>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</si>
  <si>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</si>
  <si>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</si>
  <si>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</si>
  <si>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</si>
  <si>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</si>
  <si>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</si>
  <si>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</si>
  <si>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</si>
  <si>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</si>
  <si>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</si>
  <si>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</si>
  <si>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</si>
  <si>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</si>
  <si>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</si>
  <si>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</si>
  <si>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</si>
  <si>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</si>
  <si>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</si>
  <si>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</si>
  <si>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</si>
  <si>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</si>
  <si>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</si>
  <si>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</si>
  <si>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</si>
  <si>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</si>
  <si>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</si>
  <si>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</si>
  <si>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</si>
  <si>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</si>
  <si>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</si>
  <si>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</si>
  <si>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</si>
  <si>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</si>
  <si>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</si>
  <si>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</si>
  <si>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</si>
  <si>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</si>
  <si>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</si>
  <si>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</si>
  <si>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</si>
  <si>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</si>
  <si>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</si>
  <si>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</si>
  <si>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</si>
  <si>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</si>
  <si>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</si>
  <si>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</si>
  <si>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</si>
  <si>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</si>
  <si>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</si>
  <si>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</si>
  <si>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</si>
  <si>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</si>
  <si>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</si>
  <si>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</si>
  <si>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</si>
  <si>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</si>
  <si>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</si>
  <si>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</si>
  <si>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</si>
  <si>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</si>
  <si>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</si>
  <si>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</si>
  <si>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</si>
  <si>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</si>
  <si>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</si>
  <si>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</si>
  <si>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</si>
  <si>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</si>
  <si>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</si>
  <si>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</si>
  <si>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</si>
  <si>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</si>
  <si>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</si>
  <si>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</si>
  <si>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</si>
  <si>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</si>
  <si>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</si>
  <si>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</si>
  <si>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</si>
  <si>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</si>
  <si>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</si>
  <si>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</si>
  <si>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</si>
  <si>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</si>
  <si>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</si>
  <si>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</si>
  <si>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</si>
  <si>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</si>
  <si>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</si>
  <si>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</si>
  <si>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</si>
  <si>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</si>
  <si>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</si>
  <si>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</si>
  <si>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</si>
  <si>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</si>
  <si>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</si>
  <si>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</si>
  <si>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</si>
  <si>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</si>
  <si>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</si>
  <si>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</si>
  <si>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</si>
  <si>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</si>
  <si>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</si>
  <si>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</si>
  <si>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</si>
  <si>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</si>
  <si>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</si>
  <si>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</si>
  <si>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</si>
  <si>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</si>
  <si>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</si>
  <si>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</si>
  <si>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</si>
  <si>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</si>
  <si>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</si>
  <si>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</si>
  <si>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</si>
  <si>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</si>
  <si>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</si>
  <si>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</si>
  <si>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</si>
  <si>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</si>
  <si>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</si>
  <si>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</si>
  <si>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</si>
  <si>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</si>
  <si>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</si>
  <si>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</si>
  <si>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</si>
  <si>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</si>
  <si>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</si>
  <si>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</si>
  <si>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</si>
  <si>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</si>
  <si>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</si>
  <si>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</si>
  <si>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</si>
  <si>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</si>
  <si>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</si>
  <si>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</si>
  <si>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</si>
  <si>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</si>
  <si>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</si>
  <si>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</si>
  <si>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</si>
  <si>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</si>
  <si>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</si>
  <si>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</si>
  <si>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</si>
  <si>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</si>
  <si>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</si>
  <si>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</si>
  <si>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</si>
  <si>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</si>
  <si>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</si>
  <si>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</si>
  <si>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</si>
  <si>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</si>
  <si>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</si>
  <si>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</si>
  <si>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</si>
  <si>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</si>
  <si>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</si>
  <si>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</si>
  <si>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</si>
  <si>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</si>
  <si>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</si>
  <si>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</si>
  <si>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</si>
  <si>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</si>
  <si>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</si>
  <si>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</si>
  <si>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</si>
  <si>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</si>
  <si>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</si>
  <si>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</si>
  <si>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</si>
  <si>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</si>
  <si>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</si>
  <si>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</si>
  <si>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</si>
  <si>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</si>
  <si>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</si>
  <si>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</si>
  <si>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</si>
  <si>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</si>
  <si>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</si>
  <si>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</si>
  <si>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</si>
  <si>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</si>
  <si>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</si>
  <si>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</si>
  <si>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</si>
  <si>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</si>
  <si>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</si>
  <si>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</si>
  <si>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</si>
  <si>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</si>
  <si>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</si>
  <si>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</si>
  <si>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</si>
  <si>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</si>
  <si>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</si>
  <si>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</si>
  <si>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</si>
  <si>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</si>
  <si>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</si>
  <si>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</si>
  <si>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</si>
  <si>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</si>
  <si>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</si>
  <si>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</si>
  <si>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</si>
  <si>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</si>
  <si>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</si>
  <si>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</si>
  <si>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</si>
  <si>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</si>
  <si>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</si>
  <si>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</si>
  <si>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</si>
  <si>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</si>
  <si>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</si>
  <si>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</si>
  <si>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</si>
  <si>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</si>
  <si>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</si>
  <si>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</si>
  <si>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</si>
  <si>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</si>
  <si>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</si>
  <si>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</si>
  <si>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</si>
  <si>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</si>
  <si>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</si>
  <si>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</si>
  <si>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</si>
  <si>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</si>
  <si>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</si>
  <si>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</si>
  <si>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</si>
  <si>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</si>
  <si>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</si>
  <si>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</si>
  <si>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</si>
  <si>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</si>
  <si>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</si>
  <si>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</si>
  <si>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</si>
  <si>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</si>
  <si>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</si>
  <si>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</si>
  <si>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</si>
  <si>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</si>
  <si>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</si>
  <si>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</si>
  <si>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</si>
  <si>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</si>
  <si>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</si>
  <si>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</si>
  <si>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</si>
  <si>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</si>
  <si>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</si>
  <si>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</si>
  <si>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</si>
  <si>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</si>
  <si>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</si>
  <si>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</si>
  <si>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</si>
  <si>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</si>
  <si>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</si>
  <si>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</si>
  <si>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</si>
  <si>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</si>
  <si>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</si>
  <si>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</si>
  <si>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</si>
  <si>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</si>
  <si>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</si>
  <si>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</si>
  <si>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</si>
  <si>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</si>
  <si>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</si>
  <si>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</si>
  <si>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</si>
  <si>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</si>
  <si>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</si>
  <si>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</si>
  <si>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</si>
  <si>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</si>
  <si>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</si>
  <si>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</si>
  <si>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</si>
  <si>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</si>
  <si>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</si>
  <si>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</si>
  <si>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</si>
  <si>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</si>
  <si>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</si>
  <si>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</si>
  <si>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</si>
  <si>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</si>
  <si>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</si>
  <si>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</si>
  <si>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</si>
  <si>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</si>
  <si>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</si>
  <si>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</si>
  <si>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</si>
  <si>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</si>
  <si>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</si>
  <si>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</si>
  <si>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</si>
  <si>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</si>
  <si>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</si>
  <si>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</si>
  <si>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</si>
  <si>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</si>
  <si>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</si>
  <si>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</si>
  <si>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</si>
  <si>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</si>
  <si>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</si>
  <si>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</si>
  <si>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</si>
  <si>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</si>
  <si>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</si>
  <si>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</si>
  <si>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</si>
  <si>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</si>
  <si>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</si>
  <si>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</si>
  <si>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</si>
  <si>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</si>
  <si>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</si>
  <si>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</si>
  <si>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</si>
  <si>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</si>
  <si>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</si>
  <si>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</si>
  <si>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</si>
  <si>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</si>
  <si>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</si>
  <si>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</si>
  <si>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</si>
  <si>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</si>
  <si>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</si>
  <si>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</si>
  <si>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</si>
  <si>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</si>
  <si>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</si>
  <si>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</si>
  <si>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</si>
  <si>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</si>
  <si>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</si>
  <si>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</si>
  <si>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</si>
  <si>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</si>
  <si>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</si>
  <si>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</si>
  <si>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</si>
  <si>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</si>
  <si>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</si>
  <si>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</si>
  <si>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</si>
  <si>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</si>
  <si>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</si>
  <si>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</si>
  <si>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</si>
  <si>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</si>
  <si>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</si>
  <si>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</si>
  <si>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</si>
  <si>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</si>
  <si>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</si>
  <si>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</si>
  <si>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</si>
  <si>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</si>
  <si>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</si>
  <si>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</si>
  <si>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</si>
  <si>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</si>
  <si>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</si>
  <si>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</si>
  <si>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</si>
  <si>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</si>
  <si>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</si>
  <si>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</si>
  <si>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</si>
  <si>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</si>
  <si>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</si>
  <si>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</si>
  <si>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</si>
  <si>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</si>
  <si>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</si>
  <si>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</si>
  <si>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</si>
  <si>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</si>
  <si>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</si>
  <si>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</si>
  <si>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</si>
  <si>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</si>
  <si>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</si>
  <si>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</si>
  <si>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</si>
  <si>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</si>
  <si>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</si>
  <si>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</si>
  <si>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</si>
  <si>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</si>
  <si>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</si>
  <si>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</si>
  <si>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</si>
  <si>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</si>
  <si>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</si>
  <si>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</si>
  <si>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</si>
  <si>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</si>
  <si>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</si>
  <si>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</si>
  <si>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</si>
  <si>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</si>
  <si>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</si>
  <si>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</si>
  <si>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</si>
  <si>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</si>
  <si>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</si>
  <si>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</si>
  <si>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</si>
  <si>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</si>
  <si>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</si>
  <si>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</si>
  <si>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</si>
  <si>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</si>
  <si>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</si>
  <si>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</si>
  <si>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</si>
  <si>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</si>
  <si>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</si>
  <si>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</si>
  <si>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</si>
  <si>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</si>
  <si>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</si>
  <si>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</si>
  <si>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</si>
  <si>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</si>
  <si>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</si>
  <si>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</si>
  <si>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</si>
  <si>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</si>
  <si>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</si>
  <si>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</si>
  <si>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</si>
  <si>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</si>
  <si>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</si>
  <si>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</si>
  <si>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</si>
  <si>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</si>
  <si>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</si>
  <si>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</si>
  <si>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</si>
  <si>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</si>
  <si>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</si>
  <si>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</si>
  <si>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</si>
  <si>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</si>
  <si>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</si>
  <si>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</si>
  <si>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</si>
  <si>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</si>
  <si>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</si>
  <si>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</si>
  <si>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</si>
  <si>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</si>
  <si>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</si>
  <si>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</si>
  <si>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</si>
  <si>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</si>
  <si>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</si>
  <si>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</si>
  <si>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</si>
  <si>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</si>
  <si>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</si>
  <si>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</si>
  <si>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</si>
  <si>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</si>
  <si>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</si>
  <si>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</si>
  <si>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</si>
  <si>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</si>
  <si>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</si>
  <si>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</si>
  <si>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</si>
  <si>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</si>
  <si>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</si>
  <si>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</si>
  <si>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</si>
  <si>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</si>
  <si>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</si>
  <si>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</si>
  <si>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</si>
  <si>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</si>
  <si>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</si>
  <si>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</si>
  <si>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</si>
  <si>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</si>
  <si>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</si>
  <si>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</si>
  <si>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</si>
  <si>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</si>
  <si>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</si>
  <si>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</si>
  <si>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</si>
  <si>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</si>
  <si>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</si>
  <si>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</si>
  <si>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</si>
  <si>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</si>
  <si>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</si>
  <si>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</si>
  <si>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</si>
  <si>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</si>
  <si>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</si>
  <si>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</si>
  <si>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</si>
  <si>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</si>
  <si>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</si>
  <si>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</si>
  <si>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</si>
  <si>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</si>
  <si>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</si>
  <si>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</si>
  <si>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</si>
  <si>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</si>
  <si>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</si>
  <si>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</si>
  <si>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</si>
  <si>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</si>
  <si>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</si>
  <si>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</si>
  <si>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</si>
  <si>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</si>
  <si>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</si>
  <si>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</si>
  <si>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</si>
  <si>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</si>
  <si>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</si>
  <si>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</si>
  <si>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</si>
  <si>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</si>
  <si>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</si>
  <si>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</si>
  <si>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</si>
  <si>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</si>
  <si>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</si>
  <si>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</si>
  <si>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</si>
  <si>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</si>
  <si>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</si>
  <si>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</si>
  <si>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</si>
  <si>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</si>
  <si>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</si>
  <si>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</si>
  <si>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</si>
  <si>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</si>
  <si>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</si>
  <si>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</si>
  <si>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</si>
  <si>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</si>
  <si>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</si>
  <si>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</si>
  <si>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</si>
  <si>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</si>
  <si>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</si>
  <si>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</si>
  <si>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</si>
  <si>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</si>
  <si>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</si>
  <si>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</si>
  <si>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</si>
  <si>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</si>
  <si>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</si>
  <si>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</si>
  <si>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</si>
  <si>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</si>
  <si>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</si>
  <si>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</si>
  <si>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</si>
  <si>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</si>
  <si>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</si>
  <si>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</si>
  <si>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</si>
  <si>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</si>
  <si>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</si>
  <si>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</si>
  <si>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</si>
  <si>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</si>
  <si>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</si>
  <si>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</si>
  <si>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</si>
  <si>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</si>
  <si>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</si>
  <si>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</si>
  <si>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</si>
  <si>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</si>
  <si>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</si>
  <si>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</si>
  <si>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</si>
  <si>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</si>
  <si>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</si>
  <si>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</si>
  <si>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</si>
  <si>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</si>
  <si>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</si>
  <si>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</si>
  <si>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</si>
  <si>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</si>
  <si>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</si>
  <si>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</si>
  <si>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</si>
  <si>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</si>
  <si>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</si>
  <si>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</si>
  <si>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</si>
  <si>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</si>
  <si>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</si>
  <si>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</si>
  <si>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</si>
  <si>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</si>
  <si>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</si>
  <si>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</si>
  <si>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</si>
  <si>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</si>
  <si>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</si>
  <si>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</si>
  <si>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</si>
  <si>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</si>
  <si>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</si>
  <si>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</si>
  <si>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</si>
  <si>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</si>
  <si>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</si>
  <si>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</si>
  <si>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</si>
  <si>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</si>
  <si>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</si>
  <si>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</si>
  <si>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</si>
  <si>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</si>
  <si>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</si>
  <si>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</si>
  <si>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</si>
  <si>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</si>
  <si>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</si>
  <si>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</si>
  <si>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</si>
  <si>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</si>
  <si>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</si>
  <si>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</si>
  <si>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</si>
  <si>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</si>
  <si>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</si>
  <si>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</si>
  <si>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</si>
  <si>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</si>
  <si>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</si>
  <si>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</si>
  <si>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</si>
  <si>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</si>
  <si>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</si>
  <si>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</si>
  <si>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</si>
  <si>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</si>
  <si>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</si>
  <si>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</si>
  <si>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</si>
  <si>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</si>
  <si>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</si>
  <si>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</si>
  <si>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</si>
  <si>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</si>
  <si>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</si>
  <si>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</si>
  <si>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</si>
  <si>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</si>
  <si>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</si>
  <si>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</si>
  <si>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</si>
  <si>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</si>
  <si>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</si>
  <si>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</si>
  <si>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</si>
  <si>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</si>
  <si>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</si>
  <si>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</si>
  <si>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</si>
  <si>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</si>
  <si>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</si>
  <si>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</si>
  <si>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</si>
  <si>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</si>
  <si>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</si>
  <si>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</si>
  <si>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</si>
  <si>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</si>
  <si>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</si>
  <si>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</si>
  <si>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</si>
  <si>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</si>
  <si>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</si>
  <si>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</si>
  <si>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</si>
  <si>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</si>
  <si>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</si>
  <si>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</si>
  <si>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</si>
  <si>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</si>
  <si>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</si>
  <si>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</si>
  <si>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</si>
  <si>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</si>
  <si>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</si>
  <si>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</si>
  <si>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</si>
  <si>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</si>
  <si>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</si>
  <si>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</si>
  <si>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</si>
  <si>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</si>
  <si>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</si>
  <si>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</si>
  <si>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</si>
  <si>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</si>
  <si>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</si>
  <si>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</si>
  <si>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</si>
  <si>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</si>
  <si>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</si>
  <si>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</si>
  <si>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</si>
  <si>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</si>
  <si>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</si>
  <si>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</si>
  <si>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</si>
  <si>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</si>
  <si>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</si>
  <si>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</si>
  <si>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</si>
  <si>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</si>
  <si>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</si>
  <si>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</si>
  <si>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</si>
  <si>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</si>
  <si>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</si>
  <si>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</si>
  <si>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</si>
  <si>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</si>
  <si>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</si>
  <si>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</si>
  <si>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</si>
  <si>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</si>
  <si>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</si>
  <si>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</si>
  <si>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</si>
  <si>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</si>
  <si>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</si>
  <si>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</si>
  <si>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</si>
  <si>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</si>
  <si>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</si>
  <si>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</si>
  <si>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</si>
  <si>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</si>
  <si>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</si>
  <si>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</si>
  <si>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</si>
  <si>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</si>
  <si>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</si>
  <si>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</si>
  <si>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</si>
  <si>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</si>
  <si>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</si>
  <si>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</si>
  <si>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</si>
  <si>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</si>
  <si>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</si>
  <si>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</si>
  <si>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</si>
  <si>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</si>
  <si>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</si>
  <si>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</si>
  <si>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</si>
  <si>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</si>
  <si>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</si>
  <si>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</si>
  <si>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</si>
  <si>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</si>
  <si>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</si>
  <si>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</si>
  <si>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</si>
  <si>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</si>
  <si>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</si>
  <si>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</si>
  <si>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</si>
  <si>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</si>
  <si>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</si>
  <si>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</si>
  <si>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</si>
  <si>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</si>
  <si>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</si>
  <si>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</si>
  <si>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</si>
  <si>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</si>
  <si>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</si>
  <si>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</si>
  <si>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</si>
  <si>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</si>
  <si>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</si>
  <si>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</si>
  <si>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</si>
  <si>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</si>
  <si>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</si>
  <si>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</si>
  <si>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</si>
  <si>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</si>
  <si>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</si>
  <si>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</si>
  <si>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</si>
  <si>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</si>
  <si>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</si>
  <si>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</si>
  <si>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</si>
  <si>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</si>
  <si>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</si>
  <si>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</si>
  <si>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</si>
  <si>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</si>
  <si>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</si>
  <si>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</si>
  <si>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</si>
  <si>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</si>
  <si>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</si>
  <si>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</si>
  <si>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</si>
  <si>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</si>
  <si>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</si>
  <si>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</si>
  <si>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</si>
  <si>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</si>
  <si>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</si>
  <si>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</si>
  <si>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</si>
  <si>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</si>
  <si>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</si>
  <si>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</si>
  <si>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</si>
  <si>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</si>
  <si>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</si>
  <si>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</si>
  <si>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</si>
  <si>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</si>
  <si>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</si>
  <si>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</si>
  <si>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</si>
  <si>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</si>
  <si>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</si>
  <si>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</si>
  <si>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</si>
  <si>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</si>
  <si>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</si>
  <si>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</si>
  <si>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</si>
  <si>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</si>
  <si>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</si>
  <si>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</si>
  <si>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</si>
  <si>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</si>
  <si>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</si>
  <si>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</si>
  <si>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</si>
  <si>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</si>
  <si>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</si>
  <si>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</si>
  <si>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</si>
  <si>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</si>
  <si>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</si>
  <si>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</si>
  <si>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</si>
  <si>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</si>
  <si>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</si>
  <si>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</si>
  <si>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</si>
  <si>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</si>
  <si>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</si>
  <si>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</si>
  <si>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</si>
  <si>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</si>
  <si>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</si>
  <si>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</si>
  <si>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</si>
  <si>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</si>
  <si>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</si>
  <si>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</si>
  <si>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</si>
  <si>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</si>
  <si>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</si>
  <si>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</si>
  <si>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</si>
  <si>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</si>
  <si>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</si>
  <si>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</si>
  <si>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</si>
  <si>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</si>
  <si>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</si>
  <si>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</si>
  <si>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</si>
  <si>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</si>
  <si>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</si>
  <si>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</si>
  <si>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</si>
  <si>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</si>
  <si>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</si>
  <si>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</si>
  <si>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</si>
  <si>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</si>
  <si>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</si>
  <si>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</si>
  <si>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</si>
  <si>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</si>
  <si>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</si>
  <si>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</si>
  <si>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</si>
  <si>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</si>
  <si>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</si>
  <si>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</si>
  <si>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</si>
  <si>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</si>
  <si>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</si>
  <si>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</si>
  <si>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</si>
  <si>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</si>
  <si>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</si>
  <si>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</si>
  <si>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</si>
  <si>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</si>
  <si>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</si>
  <si>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</si>
  <si>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</si>
  <si>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</si>
  <si>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</si>
  <si>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</si>
  <si>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</si>
  <si>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</si>
  <si>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</si>
  <si>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</si>
  <si>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</si>
  <si>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</si>
  <si>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</si>
  <si>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</si>
  <si>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</si>
  <si>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</si>
  <si>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</si>
  <si>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</si>
  <si>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</si>
  <si>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</si>
  <si>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</si>
  <si>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</si>
  <si>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</si>
  <si>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</si>
  <si>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</si>
  <si>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</si>
  <si>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</si>
  <si>
    <t>Superior Durability of Cybertruck HFS (Hard Freaking Stainless)</t>
    <phoneticPr fontId="1"/>
  </si>
  <si>
    <t>Also, it brings you joy</t>
    <phoneticPr fontId="1"/>
  </si>
  <si>
    <t>20代で絶対きたえておくべきだった「2つのスキル」</t>
    <phoneticPr fontId="1"/>
  </si>
  <si>
    <t>https://x.com/Book_Meyer/status/2025322386413826542</t>
    <phoneticPr fontId="1"/>
  </si>
  <si>
    <r>
      <t>ぶっくま</t>
    </r>
    <r>
      <rPr>
        <sz val="11"/>
        <color theme="1"/>
        <rFont val="Segoe UI Symbol"/>
        <family val="2"/>
      </rPr>
      <t>📚</t>
    </r>
    <r>
      <rPr>
        <sz val="11"/>
        <color theme="1"/>
        <rFont val="Yu Gothic"/>
        <family val="2"/>
        <scheme val="minor"/>
      </rPr>
      <t>本をつなぐ人 × 読書プロデューサー</t>
    </r>
    <phoneticPr fontId="1"/>
  </si>
  <si>
    <t>【学びたい人向け】あなたにピッタリなビジネス・教養本が見つかる独自図解＆読書術を発信┃電車・新聞広告、書籍の帯にコメント掲載┃年間300冊┃1万部『「知る」を最大化する本の使い方』著者┃下っ端→読書→上場企業PM、著者→起業┃お仕事依頼はリンク集にあるツナグ図書館まで┃フォローありがとうございます
View more
↓ リンク集┃Amazonアソシエイト参加lit.link/bookmeyerBorn September 25
Joined September 2018
990 Following
121.1K Followers</t>
    <phoneticPr fontId="1"/>
  </si>
  <si>
    <t>会社員がSNSを始めて、人生が変わるまで</t>
    <phoneticPr fontId="1"/>
  </si>
  <si>
    <t>https://x.com/kanta13jp1/status/2025346207212769560</t>
    <phoneticPr fontId="1"/>
  </si>
  <si>
    <t>鼻血が止まらないくらい最高すぎた７冊</t>
    <phoneticPr fontId="1"/>
  </si>
  <si>
    <t>https://x.com/kanta13jp1/status/2025346891329011745</t>
    <phoneticPr fontId="1"/>
  </si>
  <si>
    <t>The choice that opposing countries face—either fighting or backing down—is very hard to make. Both are costly—fighting in terms of lives and money, and backing down in terms of the loss of status, since it shows weakness, which leads to reduced support. When two competing entities each have the power to destroy the other, both must have extremely high trust that they won’t be unacceptably harmed or killed by the other. Managing the prisoner’s dilemma well, however, is extremely rare.</t>
    <phoneticPr fontId="1"/>
  </si>
  <si>
    <t>対立する国々が直面する選択——戦うか、それとも退くか——は非常に難しい。どちらにも代償が伴う。戦うことは人命と資金を、退くことは地位の喪失を意味する。弱さを見せれば支持を失うからだ。互いに相手を破壊する力を持つ二つの対立主体は、相手が許容できない損害を与えたり殺したりしないと、極めて高い信頼を互いに持たねばならない。しかし囚人のジレンマをうまく管理することは極めて稀である。</t>
    <phoneticPr fontId="1"/>
  </si>
  <si>
    <t>https://x.com/kanta13jp1/status/2025349941321949425</t>
    <phoneticPr fontId="1"/>
  </si>
  <si>
    <t>https://x.com/n__a__g__u/status/2025082210823643344</t>
    <phoneticPr fontId="1"/>
  </si>
  <si>
    <t>和ぐ</t>
    <phoneticPr fontId="1"/>
  </si>
  <si>
    <r>
      <rPr>
        <sz val="11"/>
        <color theme="1"/>
        <rFont val="Segoe UI Symbol"/>
        <family val="2"/>
      </rPr>
      <t>📚</t>
    </r>
    <r>
      <rPr>
        <sz val="11"/>
        <color theme="1"/>
        <rFont val="Segoe UI Emoji"/>
        <family val="2"/>
      </rPr>
      <t>🫖🪴</t>
    </r>
    <r>
      <rPr>
        <sz val="11"/>
        <color theme="1"/>
        <rFont val="Segoe UI Symbol"/>
        <family val="2"/>
      </rPr>
      <t>🍳</t>
    </r>
    <r>
      <rPr>
        <sz val="11"/>
        <color theme="1"/>
        <rFont val="Calibri"/>
        <family val="2"/>
      </rPr>
      <t xml:space="preserve">
Bluesky</t>
    </r>
    <r>
      <rPr>
        <sz val="11"/>
        <color theme="1"/>
        <rFont val="Calibri"/>
        <family val="2"/>
        <charset val="1"/>
      </rPr>
      <t>→</t>
    </r>
    <r>
      <rPr>
        <sz val="11"/>
        <color theme="1"/>
        <rFont val="Calibri"/>
        <family val="2"/>
      </rPr>
      <t>bsky.app/profile/naguna…
Joined May 2025
156 Following
948 Followers</t>
    </r>
    <phoneticPr fontId="1"/>
  </si>
  <si>
    <t>暮らしが楽しくなる本を読みたい日</t>
    <phoneticPr fontId="1"/>
  </si>
  <si>
    <r>
      <t>家に読書室があるといつでもブックカフェごっこができます</t>
    </r>
    <r>
      <rPr>
        <sz val="11"/>
        <color theme="1"/>
        <rFont val="Segoe UI Symbol"/>
        <family val="2"/>
      </rPr>
      <t>📚</t>
    </r>
    <phoneticPr fontId="1"/>
  </si>
  <si>
    <t>https://x.com/egys_16/status/2025908582114545735</t>
    <phoneticPr fontId="1"/>
  </si>
  <si>
    <t>えぎ │ エンジニア</t>
    <phoneticPr fontId="1"/>
  </si>
  <si>
    <t>25歳 │ 趣味は野球観戦と筋トレ │ 広島出身 │ ※発言は所属組織とは無関係です │ ※おすすめの本でAmazonアソシエイトリンク貼ることあります
Joined January 2025
1,170 Following
1,419 Followers</t>
    <phoneticPr fontId="1"/>
  </si>
  <si>
    <t>ClaudeCodeに全てを任せるのが怖くて、
いまだにClaudeCodeから、
変更を許可するかを自動にせず、
毎回手動で許可しちゃってる
これのきっかけがあって、
.envの編集は禁止してるんだけど、
catとか使ってすり抜けて.env編集してきたときに、
ちょっとまだ全自動は怖いなと思ってしまってます、、、</t>
    <phoneticPr fontId="1"/>
  </si>
  <si>
    <t>Gemini自体は自分も課金してて、
ほんとにいいサービスだと思う
けど、Geminiしか使ってないひとは、
会社がGoogleワークスペース入ってて、
そこにGeminiが入ったから使ってるって人がおおくて、
自ら生成AIを使うって人が少ない印象なんだよね
それでも使わないよりはいいと思うけどね</t>
    <phoneticPr fontId="1"/>
  </si>
  <si>
    <t>https://x.com/wandb/status/2021744174635356417</t>
    <phoneticPr fontId="1"/>
  </si>
  <si>
    <t>Weights &amp; Biases</t>
    <phoneticPr fontId="1"/>
  </si>
  <si>
    <r>
      <t>The AI developer platform.</t>
    </r>
    <r>
      <rPr>
        <sz val="11"/>
        <color theme="1"/>
        <rFont val="Segoe UI Emoji"/>
        <family val="2"/>
      </rPr>
      <t>🛠️</t>
    </r>
    <r>
      <rPr>
        <sz val="11"/>
        <color theme="1"/>
        <rFont val="Yu Gothic"/>
        <family val="2"/>
      </rPr>
      <t xml:space="preserve"> Track and evaluate your LLM applications in real-time with 
@weave_wb
.
Science &amp; TechnologySan Franciscowandb.ai/site
Joined May 2018
1,242 Following
47.1K Followers</t>
    </r>
    <phoneticPr fontId="1"/>
  </si>
  <si>
    <t>Fine-tuning just got a whole lot easier.
Serverless SFT is now in public preview on W&amp;B! 
Managed infrastructure (powered by 
@CoreWeave
) that auto-scales to your training workloads. No cluster setup. No idle GPU costs.</t>
    <phoneticPr fontId="1"/>
  </si>
  <si>
    <r>
      <t xml:space="preserve">wandb LEET is back with new heat. </t>
    </r>
    <r>
      <rPr>
        <sz val="11"/>
        <color theme="1"/>
        <rFont val="Segoe UI Symbol"/>
        <family val="2"/>
      </rPr>
      <t>🔥</t>
    </r>
    <r>
      <rPr>
        <sz val="11"/>
        <color theme="1"/>
        <rFont val="Yu Gothic"/>
        <family val="2"/>
        <scheme val="minor"/>
      </rPr>
      <t xml:space="preserve">
You asked, the SDK team listened:
→ Workspace view by default: multiple runs, metrics grid, and run overview all at a glance 
→ Config editor: edit and save your config without leaving the TUI
Terminal warriors, this one's for you.</t>
    </r>
    <phoneticPr fontId="1"/>
  </si>
  <si>
    <t>While there are no rules in international relations other than those the most powerful impose on themselves, some approaches produce better outcomes than others. Specifically, those that are more likely to lead to win-win outcomes are better than those that lead to lose-lose outcomes. Hence this all-important principle: * to get more win-win outcomes one needs to negotiate with consideration given to what is most important to the other party and to oneself and know how to trade them.</t>
    <phoneticPr fontId="1"/>
  </si>
  <si>
    <t>国際関係には、最強国が自らに課すルール以外には存在しないが、特定のアプローチは他よりも優れた結果を生む。具体的には、ウィンウィンの結果をもたらす可能性が高いアプローチは、ルーズルーズの結果をもたらすものより優れている。ゆえにこの極めて重要な原則が導かれる：* より多くのウィンウィン結果を得るには、相手と自らが最も重視する点を考慮した交渉を行い、それらをどう交換するかを理解する必要がある。</t>
    <phoneticPr fontId="1"/>
  </si>
  <si>
    <t>https://x.com/JoyTaniguchi/status/2026933702916452573</t>
    <phoneticPr fontId="1"/>
  </si>
  <si>
    <t>Joy Watson Taniguchi</t>
    <phoneticPr fontId="1"/>
  </si>
  <si>
    <r>
      <rPr>
        <sz val="11"/>
        <color theme="1"/>
        <rFont val="Segoe UI Symbol"/>
        <family val="2"/>
      </rPr>
      <t>🇺🇸🇯🇵</t>
    </r>
    <r>
      <rPr>
        <sz val="11"/>
        <color theme="1"/>
        <rFont val="Calibri"/>
        <family val="2"/>
      </rPr>
      <t xml:space="preserve"> Sociolinguist. Endangered Languages and Dialects.
Shizuoka Institute of Science and Technology. </t>
    </r>
    <r>
      <rPr>
        <sz val="11"/>
        <color theme="1"/>
        <rFont val="Yu Gothic"/>
        <family val="2"/>
      </rPr>
      <t>社会言語学</t>
    </r>
    <r>
      <rPr>
        <sz val="11"/>
        <color theme="1"/>
        <rFont val="Calibri"/>
        <family val="2"/>
      </rPr>
      <t>/</t>
    </r>
    <r>
      <rPr>
        <sz val="11"/>
        <color theme="1"/>
        <rFont val="Yu Gothic"/>
        <family val="2"/>
      </rPr>
      <t>危機言語・方言</t>
    </r>
    <r>
      <rPr>
        <sz val="11"/>
        <color theme="1"/>
        <rFont val="Calibri"/>
        <family val="2"/>
      </rPr>
      <t xml:space="preserve">
Yokohama DeNA Baystars. Posts are my own.
</t>
    </r>
    <r>
      <rPr>
        <sz val="11"/>
        <color theme="1"/>
        <rFont val="Yu Gothic"/>
        <family val="2"/>
      </rPr>
      <t>日本</t>
    </r>
    <r>
      <rPr>
        <sz val="11"/>
        <color theme="1"/>
        <rFont val="Calibri"/>
        <family val="2"/>
      </rPr>
      <t xml:space="preserve"> </t>
    </r>
    <r>
      <rPr>
        <sz val="11"/>
        <color theme="1"/>
        <rFont val="Yu Gothic"/>
        <family val="2"/>
      </rPr>
      <t>静岡</t>
    </r>
    <r>
      <rPr>
        <sz val="11"/>
        <color theme="1"/>
        <rFont val="Calibri"/>
        <family val="2"/>
      </rPr>
      <t>joytaniguchi.com
Joined January 2019
9,113 Following
22.9K Followers</t>
    </r>
    <phoneticPr fontId="1"/>
  </si>
  <si>
    <t>Amazonで予約できるようになりました！
真面目な言語学の話題から狂気のエピソードまで...
『ある言語学者の事件簿』が2月25日に発売されます！
 https://amzn.asia/d/dFhfPe8 #Amazon via 
@Amazon</t>
    <phoneticPr fontId="1"/>
  </si>
  <si>
    <t>これはもう陳謝するしかない…</t>
    <phoneticPr fontId="1"/>
  </si>
  <si>
    <t>「今や、寝ている間にAIがブログ記事を50本書いて、勝手に稼いでくれる時代だ」と豪語する人を見かけたが、それの何が楽しいのだろう。文章なんて自分で書くから楽しいのに。</t>
    <phoneticPr fontId="1"/>
  </si>
  <si>
    <t>The Gemini large language models (LLMs) that are used by Gemini Code Assist are trained on datasets of publicly available code, Google Cloud-specific material, and other relevant technical information in addition to the datasets used to train the Gemini foundation models.</t>
    <phoneticPr fontId="1"/>
  </si>
  <si>
    <t>Gemini Code Assistで使用されるGemini大規模言語モデル（LLM）は、Gemini基盤モデルのトレーニングに使用されたデータセットに加え、公開されているコード、Google Cloud固有の資料、その他の関連技術情報のデータセットを用いてトレーニングされています。</t>
    <phoneticPr fontId="1"/>
  </si>
  <si>
    <t>毎日必ず1人以上の登録者数を増やすための施策を実施してください。目標を達成するまで本日の作業は終われません。</t>
  </si>
  <si>
    <t>本サイトへの流入を増やすために、SNSへのシェア機能を充実させるのと、シェア機能の充実の効果を確認するための機能（シェア実施回数の確認など）を充実させてください。</t>
    <phoneticPr fontId="1"/>
  </si>
  <si>
    <t>このアプリの登録者数を増やすことが目的なので、このアプリを使いたいという風に思うような文面が出力されるような改善はできますか？</t>
    <phoneticPr fontId="1"/>
  </si>
  <si>
    <t xml:space="preserve">このアプリの登録者数を増やすことが目的なので、このアプリを使いたいという風に思うような文面が出力されるような改善はできますか？
今日のやるべきことをAIと運営導線で1件に絞る。
「自分株式会社」を使って人生を経営中。
今すぐ試す → https://my-web-app-b67f4.web.app/ </t>
    <phoneticPr fontId="1"/>
  </si>
  <si>
    <t>LPのView数以外にも登録者数管理に必要な情報があれば追加するように改善してください。
このアプリの登録者数を増やすためにあらゆる施策を検討してください。</t>
    <rPh sb="67" eb="68">
      <t>セ</t>
    </rPh>
    <rPh sb="68" eb="69">
      <t>サク</t>
    </rPh>
    <rPh sb="70" eb="72">
      <t>ケントウ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</si>
</sst>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
      <sz val="11"/>
      <color theme="1"/>
      <name val="Calibri"/>
      <family val="2"/>
      <charset val="1"/>
    </font>
    <font>
      <sz val="11"/>
      <color theme="1"/>
      <name val="Yu Gothic"/>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xf numFmtId="0" fontId="8"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39" Type="http://schemas.openxmlformats.org/officeDocument/2006/relationships/hyperlink" Target="https://x.com/JoyTaniguchi/status/2026933702916452573" TargetMode="External"/><Relationship Id="rId21" Type="http://schemas.openxmlformats.org/officeDocument/2006/relationships/hyperlink" Target="https://x.com/kanta13jp1/status/2023829776843370629" TargetMode="External"/><Relationship Id="rId34" Type="http://schemas.openxmlformats.org/officeDocument/2006/relationships/hyperlink" Target="https://x.com/kanta13jp1/status/2025346891329011745"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33" Type="http://schemas.openxmlformats.org/officeDocument/2006/relationships/hyperlink" Target="https://x.com/kanta13jp1/status/2025346207212769560" TargetMode="External"/><Relationship Id="rId38" Type="http://schemas.openxmlformats.org/officeDocument/2006/relationships/hyperlink" Target="https://x.com/wandb/status/2021744174635356417"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32" Type="http://schemas.openxmlformats.org/officeDocument/2006/relationships/hyperlink" Target="https://x.com/Book_Meyer/status/2025322386413826542" TargetMode="External"/><Relationship Id="rId37" Type="http://schemas.openxmlformats.org/officeDocument/2006/relationships/hyperlink" Target="https://x.com/egys_16/status/2025908582114545735"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36" Type="http://schemas.openxmlformats.org/officeDocument/2006/relationships/hyperlink" Target="https://x.com/n__a__g__u/status/2025082210823643344"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 Id="rId35" Type="http://schemas.openxmlformats.org/officeDocument/2006/relationships/hyperlink" Target="https://x.com/kanta13jp1/status/2025349941321949425" TargetMode="External"/><Relationship Id="rId8" Type="http://schemas.openxmlformats.org/officeDocument/2006/relationships/hyperlink" Target="https://x.com/genmai_tokyo/status/2021783281461866788" TargetMode="External"/><Relationship Id="rId3" Type="http://schemas.openxmlformats.org/officeDocument/2006/relationships/hyperlink" Target="https://x.com/think_hacking/status/2021705302605787296"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
  <cols>
    <col min="3" max="3" width="21.59765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workbookViewId="0">
      <selection activeCell="C10" sqref="C10"/>
    </sheetView>
  </sheetViews>
  <sheetFormatPr defaultRowHeight="18"/>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2">
      <c r="B8">
        <f t="shared" si="0"/>
        <v>5</v>
      </c>
      <c r="C8" s="1" t="s">
        <v>8</v>
      </c>
    </row>
    <row r="9" spans="2:4">
      <c r="B9">
        <f t="shared" si="0"/>
        <v>6</v>
      </c>
      <c r="C9" t="s">
        <v>13</v>
      </c>
    </row>
    <row r="10" spans="2:4" ht="198">
      <c r="B10">
        <f t="shared" si="0"/>
        <v>7</v>
      </c>
      <c r="C10" s="1" t="s">
        <v>290</v>
      </c>
    </row>
    <row r="11" spans="2:4" ht="36">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4">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
  <cols>
    <col min="2" max="2" width="2.5" bestFit="1" customWidth="1"/>
    <col min="3" max="3" width="30.3984375" bestFit="1" customWidth="1"/>
    <col min="4" max="4" width="20.3984375" bestFit="1" customWidth="1"/>
    <col min="5" max="5" width="10.19921875" bestFit="1" customWidth="1"/>
    <col min="6" max="6" width="5.1992187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
  <cols>
    <col min="3" max="3" width="157.59765625" bestFit="1" customWidth="1"/>
    <col min="4" max="5" width="10.1992187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
  <cols>
    <col min="2" max="2" width="2.5" bestFit="1" customWidth="1"/>
    <col min="3" max="3" width="36.8984375" bestFit="1" customWidth="1"/>
    <col min="4" max="4" width="20.3984375" bestFit="1" customWidth="1"/>
    <col min="5" max="6" width="10.1992187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
  <cols>
    <col min="2" max="2" width="2.5" bestFit="1" customWidth="1"/>
    <col min="3" max="3" width="42.09765625" bestFit="1" customWidth="1"/>
    <col min="5" max="6" width="10.19921875" bestFit="1" customWidth="1"/>
    <col min="7" max="7" width="17.19921875" bestFit="1" customWidth="1"/>
    <col min="8" max="8" width="78" customWidth="1"/>
    <col min="9" max="9" width="117.5" customWidth="1"/>
    <col min="10" max="10" width="101.5" bestFit="1" customWidth="1"/>
    <col min="11" max="11" width="196.59765625" bestFit="1" customWidth="1"/>
    <col min="12" max="12" width="80.19921875" customWidth="1"/>
  </cols>
  <sheetData>
    <row r="1" spans="2:12">
      <c r="E1" s="3">
        <f ca="1">TODAY()</f>
        <v>46084</v>
      </c>
      <c r="G1">
        <v>107</v>
      </c>
    </row>
    <row r="2" spans="2:12">
      <c r="E2" t="s">
        <v>1</v>
      </c>
      <c r="F2" t="s">
        <v>2</v>
      </c>
      <c r="G2" t="s">
        <v>156</v>
      </c>
      <c r="H2" t="s">
        <v>146</v>
      </c>
      <c r="I2" t="s">
        <v>148</v>
      </c>
      <c r="J2" t="s">
        <v>153</v>
      </c>
      <c r="K2" t="s">
        <v>154</v>
      </c>
      <c r="L2" t="s">
        <v>152</v>
      </c>
    </row>
    <row r="3" spans="2:12" ht="144">
      <c r="B3">
        <v>1</v>
      </c>
      <c r="C3" t="s">
        <v>42</v>
      </c>
      <c r="E3" s="3">
        <v>46037</v>
      </c>
      <c r="F3" s="3">
        <v>46039</v>
      </c>
      <c r="G3" t="s">
        <v>157</v>
      </c>
      <c r="H3" s="1" t="s">
        <v>145</v>
      </c>
      <c r="I3" s="1" t="s">
        <v>147</v>
      </c>
      <c r="J3" s="1" t="s">
        <v>149</v>
      </c>
      <c r="K3" s="1" t="s">
        <v>150</v>
      </c>
      <c r="L3" s="1" t="s">
        <v>151</v>
      </c>
    </row>
    <row r="4" spans="2:12" ht="234">
      <c r="B4">
        <f>B3+1</f>
        <v>2</v>
      </c>
      <c r="C4" t="s">
        <v>144</v>
      </c>
      <c r="E4" s="3">
        <v>46039</v>
      </c>
      <c r="F4" s="3">
        <v>46039</v>
      </c>
      <c r="G4" t="s">
        <v>157</v>
      </c>
      <c r="H4" s="1" t="s">
        <v>158</v>
      </c>
      <c r="I4" s="1" t="s">
        <v>159</v>
      </c>
      <c r="J4" s="1" t="s">
        <v>160</v>
      </c>
      <c r="K4" s="1" t="s">
        <v>161</v>
      </c>
      <c r="L4" s="1" t="s">
        <v>162</v>
      </c>
    </row>
    <row r="5" spans="2:12" ht="72">
      <c r="B5">
        <f>B4+1</f>
        <v>3</v>
      </c>
      <c r="C5" t="s">
        <v>155</v>
      </c>
      <c r="E5" s="3">
        <v>46039</v>
      </c>
      <c r="F5" s="3">
        <v>46039</v>
      </c>
      <c r="G5" t="s">
        <v>157</v>
      </c>
      <c r="H5" t="s">
        <v>164</v>
      </c>
      <c r="I5" s="1" t="s">
        <v>165</v>
      </c>
      <c r="J5" s="1" t="s">
        <v>166</v>
      </c>
      <c r="K5" s="1" t="s">
        <v>161</v>
      </c>
      <c r="L5" s="1" t="s">
        <v>167</v>
      </c>
    </row>
    <row r="6" spans="2:12" ht="234">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
  <cols>
    <col min="2" max="2" width="3.69921875" bestFit="1" customWidth="1"/>
    <col min="3" max="3" width="29.09765625" bestFit="1" customWidth="1"/>
    <col min="4" max="4" width="31.69921875" bestFit="1" customWidth="1"/>
    <col min="5" max="5" width="34.19921875" customWidth="1"/>
    <col min="6" max="6" width="54.8984375" bestFit="1" customWidth="1"/>
    <col min="7" max="7" width="53.8984375" customWidth="1"/>
    <col min="8" max="8" width="22.59765625" bestFit="1" customWidth="1"/>
    <col min="9" max="9" width="22.59765625" customWidth="1"/>
    <col min="10" max="10" width="35.69921875" bestFit="1" customWidth="1"/>
    <col min="11" max="11" width="8.09765625" bestFit="1" customWidth="1"/>
    <col min="12" max="12" width="17.8984375" bestFit="1" customWidth="1"/>
    <col min="13" max="13" width="41.69921875" bestFit="1" customWidth="1"/>
    <col min="14" max="14" width="32.59765625" bestFit="1" customWidth="1"/>
    <col min="15" max="15" width="16.09765625" bestFit="1" customWidth="1"/>
    <col min="16" max="16" width="75.5" bestFit="1" customWidth="1"/>
    <col min="17" max="17" width="65.69921875" bestFit="1" customWidth="1"/>
    <col min="18" max="18" width="65.69921875" customWidth="1"/>
    <col min="19" max="19" width="50.09765625" bestFit="1" customWidth="1"/>
    <col min="20" max="21" width="50.09765625" customWidth="1"/>
    <col min="22" max="22" width="10.19921875" bestFit="1" customWidth="1"/>
    <col min="23" max="23" width="47" customWidth="1"/>
    <col min="24" max="24" width="10.1992187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198">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60">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198">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24">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62">
      <c r="B7">
        <f t="shared" si="0"/>
        <v>5</v>
      </c>
      <c r="F7" s="1" t="s">
        <v>240</v>
      </c>
      <c r="H7" s="1" t="s">
        <v>250</v>
      </c>
      <c r="I7" s="1"/>
      <c r="J7" t="s">
        <v>251</v>
      </c>
      <c r="K7" s="1" t="s">
        <v>188</v>
      </c>
      <c r="L7" s="1" t="s">
        <v>257</v>
      </c>
      <c r="M7" s="1" t="s">
        <v>255</v>
      </c>
      <c r="N7" t="s">
        <v>190</v>
      </c>
    </row>
    <row r="8" spans="2:24">
      <c r="B8">
        <f t="shared" si="0"/>
        <v>6</v>
      </c>
      <c r="F8" s="1" t="s">
        <v>241</v>
      </c>
      <c r="K8" s="1"/>
      <c r="L8" s="1"/>
    </row>
    <row r="9" spans="2:24" ht="144">
      <c r="B9">
        <f t="shared" si="0"/>
        <v>7</v>
      </c>
      <c r="F9" s="1" t="s">
        <v>242</v>
      </c>
      <c r="H9" s="1" t="s">
        <v>271</v>
      </c>
      <c r="I9" s="1"/>
      <c r="J9" t="s">
        <v>270</v>
      </c>
      <c r="K9" s="1" t="s">
        <v>188</v>
      </c>
      <c r="L9" s="1" t="s">
        <v>272</v>
      </c>
      <c r="M9" s="1" t="s">
        <v>273</v>
      </c>
      <c r="N9" t="s">
        <v>190</v>
      </c>
    </row>
    <row r="10" spans="2:24" ht="162">
      <c r="B10">
        <f t="shared" si="0"/>
        <v>8</v>
      </c>
      <c r="F10" s="1" t="s">
        <v>243</v>
      </c>
      <c r="H10" s="1" t="s">
        <v>274</v>
      </c>
      <c r="I10" s="1"/>
      <c r="J10" t="s">
        <v>278</v>
      </c>
      <c r="K10" s="1" t="s">
        <v>188</v>
      </c>
      <c r="L10" s="1" t="s">
        <v>279</v>
      </c>
      <c r="M10" s="1" t="s">
        <v>273</v>
      </c>
      <c r="N10" t="s">
        <v>190</v>
      </c>
    </row>
    <row r="11" spans="2:24" ht="126">
      <c r="B11">
        <f t="shared" si="0"/>
        <v>9</v>
      </c>
      <c r="F11" s="1" t="s">
        <v>244</v>
      </c>
      <c r="H11" t="s">
        <v>263</v>
      </c>
      <c r="J11" t="s">
        <v>268</v>
      </c>
      <c r="K11" t="s">
        <v>259</v>
      </c>
      <c r="L11" s="1" t="s">
        <v>258</v>
      </c>
      <c r="M11" t="s">
        <v>269</v>
      </c>
      <c r="N11" t="s">
        <v>190</v>
      </c>
    </row>
    <row r="12" spans="2:24" ht="126">
      <c r="B12">
        <f t="shared" si="0"/>
        <v>10</v>
      </c>
      <c r="F12" s="1" t="s">
        <v>245</v>
      </c>
      <c r="H12" s="1" t="s">
        <v>275</v>
      </c>
      <c r="I12" s="1"/>
      <c r="J12" t="s">
        <v>260</v>
      </c>
      <c r="K12" s="1" t="s">
        <v>188</v>
      </c>
      <c r="L12" s="1" t="s">
        <v>261</v>
      </c>
      <c r="M12" t="s">
        <v>262</v>
      </c>
      <c r="N12" t="s">
        <v>190</v>
      </c>
    </row>
    <row r="13" spans="2:24" ht="126">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
  <cols>
    <col min="2" max="2" width="2.5" bestFit="1" customWidth="1"/>
    <col min="3" max="3" width="29.19921875" bestFit="1" customWidth="1"/>
    <col min="4" max="4" width="10.1992187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
  <cols>
    <col min="2" max="2" width="3.5" bestFit="1" customWidth="1"/>
    <col min="3" max="3" width="19" bestFit="1" customWidth="1"/>
    <col min="4" max="4" width="29.59765625" bestFit="1" customWidth="1"/>
    <col min="5" max="5" width="15.09765625" bestFit="1" customWidth="1"/>
    <col min="6" max="9" width="10.1992187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
  <cols>
    <col min="2" max="2" width="3.5" bestFit="1" customWidth="1"/>
    <col min="3" max="3" width="25.3984375" bestFit="1" customWidth="1"/>
    <col min="4" max="4" width="29.59765625" bestFit="1" customWidth="1"/>
    <col min="5" max="7" width="10.19921875" bestFit="1" customWidth="1"/>
  </cols>
  <sheetData>
    <row r="1" spans="2:8">
      <c r="E1" s="3">
        <f ca="1">TODAY()</f>
        <v>46084</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
  <cols>
    <col min="2" max="2" width="3.5" bestFit="1" customWidth="1"/>
    <col min="3" max="3" width="27.5" bestFit="1" customWidth="1"/>
    <col min="4" max="4" width="40" customWidth="1"/>
    <col min="6" max="7" width="10.19921875" bestFit="1" customWidth="1"/>
  </cols>
  <sheetData>
    <row r="1" spans="2:9">
      <c r="F1" s="3">
        <f ca="1">TODAY()</f>
        <v>46084</v>
      </c>
    </row>
    <row r="2" spans="2:9">
      <c r="F2" t="s">
        <v>1</v>
      </c>
      <c r="G2" t="s">
        <v>2</v>
      </c>
      <c r="H2" t="s">
        <v>43</v>
      </c>
      <c r="I2" t="s">
        <v>44</v>
      </c>
    </row>
    <row r="3" spans="2:9" ht="90">
      <c r="B3">
        <v>1</v>
      </c>
      <c r="C3" t="s">
        <v>48</v>
      </c>
      <c r="D3" s="1" t="s">
        <v>305</v>
      </c>
      <c r="F3" s="3">
        <v>46041</v>
      </c>
      <c r="G3" s="3"/>
    </row>
    <row r="4" spans="2:9">
      <c r="B4">
        <f t="shared" ref="B4:B19" si="0">B3+1</f>
        <v>2</v>
      </c>
      <c r="C4" t="s">
        <v>49</v>
      </c>
      <c r="F4" s="3"/>
      <c r="G4" s="3"/>
    </row>
    <row r="5" spans="2:9">
      <c r="B5">
        <f t="shared" si="0"/>
        <v>3</v>
      </c>
      <c r="C5" t="s">
        <v>50</v>
      </c>
      <c r="F5" s="3"/>
      <c r="G5" s="3"/>
    </row>
    <row r="6" spans="2:9" ht="90">
      <c r="B6">
        <f t="shared" si="0"/>
        <v>4</v>
      </c>
      <c r="C6" s="1" t="s">
        <v>289</v>
      </c>
      <c r="D6" s="1" t="s">
        <v>288</v>
      </c>
      <c r="F6" s="3">
        <v>46039</v>
      </c>
      <c r="G6" s="3">
        <v>46039</v>
      </c>
    </row>
    <row r="7" spans="2:9" ht="36">
      <c r="B7">
        <f t="shared" si="0"/>
        <v>5</v>
      </c>
      <c r="C7" t="s">
        <v>298</v>
      </c>
      <c r="D7" s="1" t="s">
        <v>297</v>
      </c>
      <c r="F7" s="3">
        <v>46039</v>
      </c>
      <c r="G7" s="3">
        <v>46039</v>
      </c>
    </row>
    <row r="8" spans="2:9" ht="72">
      <c r="B8">
        <f t="shared" si="0"/>
        <v>6</v>
      </c>
      <c r="C8" t="s">
        <v>300</v>
      </c>
      <c r="D8" s="1" t="s">
        <v>299</v>
      </c>
      <c r="F8" s="3">
        <v>46039</v>
      </c>
    </row>
    <row r="9" spans="2:9">
      <c r="B9">
        <f t="shared" si="0"/>
        <v>7</v>
      </c>
      <c r="C9" t="s">
        <v>301</v>
      </c>
    </row>
    <row r="10" spans="2:9" ht="36">
      <c r="B10">
        <f t="shared" si="0"/>
        <v>8</v>
      </c>
      <c r="C10" s="1" t="s">
        <v>302</v>
      </c>
      <c r="F10" s="3"/>
      <c r="G10" s="3"/>
    </row>
    <row r="11" spans="2:9" ht="36">
      <c r="B11">
        <f t="shared" si="0"/>
        <v>9</v>
      </c>
      <c r="C11" s="1" t="s">
        <v>303</v>
      </c>
    </row>
    <row r="12" spans="2:9">
      <c r="B12">
        <f t="shared" si="0"/>
        <v>10</v>
      </c>
      <c r="C12" t="s">
        <v>304</v>
      </c>
    </row>
    <row r="13" spans="2:9" ht="36">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
  <cols>
    <col min="2" max="2" width="3.5" bestFit="1" customWidth="1"/>
    <col min="3" max="3" width="38.59765625" customWidth="1"/>
    <col min="5" max="5" width="10.19921875" bestFit="1" customWidth="1"/>
    <col min="6" max="6" width="5.19921875" bestFit="1" customWidth="1"/>
  </cols>
  <sheetData>
    <row r="1" spans="2:8">
      <c r="E1" s="3">
        <f ca="1">TODAY()</f>
        <v>46084</v>
      </c>
    </row>
    <row r="2" spans="2:8">
      <c r="E2" t="s">
        <v>1</v>
      </c>
      <c r="F2" t="s">
        <v>2</v>
      </c>
      <c r="G2" t="s">
        <v>43</v>
      </c>
      <c r="H2" t="s">
        <v>44</v>
      </c>
    </row>
    <row r="3" spans="2:8">
      <c r="B3">
        <v>1</v>
      </c>
      <c r="C3" t="s">
        <v>83</v>
      </c>
      <c r="E3" s="3"/>
      <c r="F3" s="3"/>
    </row>
    <row r="4" spans="2:8" ht="36">
      <c r="B4">
        <f t="shared" ref="B4:B19" si="0">B3+1</f>
        <v>2</v>
      </c>
      <c r="C4" s="1" t="s">
        <v>88</v>
      </c>
      <c r="E4" s="3"/>
      <c r="F4" s="3"/>
    </row>
    <row r="5" spans="2:8" ht="36">
      <c r="B5">
        <f t="shared" si="0"/>
        <v>3</v>
      </c>
      <c r="C5" s="1" t="s">
        <v>100</v>
      </c>
      <c r="E5" s="3"/>
      <c r="F5" s="3"/>
    </row>
    <row r="6" spans="2:8" ht="36">
      <c r="B6">
        <f t="shared" si="0"/>
        <v>4</v>
      </c>
      <c r="C6" s="1" t="s">
        <v>569</v>
      </c>
      <c r="E6" s="3"/>
      <c r="F6" s="3"/>
    </row>
    <row r="7" spans="2:8" ht="90">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
  <cols>
    <col min="2" max="2" width="10.19921875" bestFit="1" customWidth="1"/>
    <col min="5" max="5" width="46.09765625" bestFit="1" customWidth="1"/>
    <col min="7" max="7" width="48.19921875" bestFit="1" customWidth="1"/>
    <col min="8" max="8" width="47.59765625" bestFit="1" customWidth="1"/>
    <col min="9" max="9" width="47.69921875" bestFit="1" customWidth="1"/>
    <col min="10" max="10" width="16.19921875" bestFit="1" customWidth="1"/>
    <col min="11" max="11" width="17.5" bestFit="1" customWidth="1"/>
    <col min="12" max="12" width="29.09765625" bestFit="1" customWidth="1"/>
    <col min="13" max="13" width="12.09765625" bestFit="1" customWidth="1"/>
    <col min="16" max="16" width="16.5" bestFit="1" customWidth="1"/>
  </cols>
  <sheetData>
    <row r="1" spans="2:17">
      <c r="B1" s="3">
        <f ca="1">TODAY()</f>
        <v>46084</v>
      </c>
    </row>
    <row r="2" spans="2:17">
      <c r="E2" t="s">
        <v>495</v>
      </c>
      <c r="F2" t="s">
        <v>497</v>
      </c>
      <c r="G2" t="s">
        <v>498</v>
      </c>
      <c r="H2" t="s">
        <v>500</v>
      </c>
      <c r="J2" t="s">
        <v>502</v>
      </c>
      <c r="K2" t="s">
        <v>503</v>
      </c>
      <c r="L2" t="s">
        <v>504</v>
      </c>
      <c r="M2" t="s">
        <v>512</v>
      </c>
      <c r="N2" t="s">
        <v>513</v>
      </c>
      <c r="O2" t="s">
        <v>514</v>
      </c>
      <c r="P2" t="s">
        <v>515</v>
      </c>
      <c r="Q2" t="s">
        <v>516</v>
      </c>
    </row>
    <row r="3" spans="2:17" ht="36">
      <c r="E3" t="s">
        <v>496</v>
      </c>
      <c r="F3">
        <v>1</v>
      </c>
      <c r="G3" t="s">
        <v>499</v>
      </c>
      <c r="H3" t="s">
        <v>501</v>
      </c>
      <c r="I3" t="s">
        <v>509</v>
      </c>
      <c r="J3">
        <v>1024</v>
      </c>
      <c r="K3">
        <v>1</v>
      </c>
      <c r="L3" s="1" t="s">
        <v>505</v>
      </c>
    </row>
    <row r="4" spans="2:17" ht="72">
      <c r="E4" t="s">
        <v>506</v>
      </c>
      <c r="F4">
        <v>1</v>
      </c>
      <c r="G4" t="s">
        <v>507</v>
      </c>
      <c r="H4" s="1" t="s">
        <v>508</v>
      </c>
      <c r="I4" s="1" t="s">
        <v>510</v>
      </c>
      <c r="J4">
        <v>1048576</v>
      </c>
      <c r="K4">
        <v>65536</v>
      </c>
      <c r="L4" s="1" t="s">
        <v>511</v>
      </c>
      <c r="M4">
        <v>1</v>
      </c>
      <c r="N4">
        <v>0.95</v>
      </c>
      <c r="O4">
        <v>64</v>
      </c>
      <c r="P4">
        <v>2</v>
      </c>
      <c r="Q4" t="b">
        <v>1</v>
      </c>
    </row>
    <row r="5" spans="2:17" ht="72">
      <c r="E5" t="s">
        <v>517</v>
      </c>
      <c r="F5">
        <v>2.5</v>
      </c>
      <c r="G5" t="s">
        <v>518</v>
      </c>
      <c r="H5" t="s">
        <v>519</v>
      </c>
      <c r="I5" t="s">
        <v>520</v>
      </c>
      <c r="J5">
        <v>1048576</v>
      </c>
      <c r="K5">
        <v>65536</v>
      </c>
      <c r="L5" s="1" t="s">
        <v>511</v>
      </c>
      <c r="M5">
        <v>1</v>
      </c>
      <c r="N5">
        <v>0.95</v>
      </c>
      <c r="O5">
        <v>64</v>
      </c>
      <c r="P5">
        <v>2</v>
      </c>
      <c r="Q5" t="b">
        <v>1</v>
      </c>
    </row>
    <row r="6" spans="2:17" ht="54">
      <c r="E6" t="s">
        <v>521</v>
      </c>
      <c r="F6">
        <v>2</v>
      </c>
      <c r="G6" t="s">
        <v>522</v>
      </c>
      <c r="H6" t="s">
        <v>522</v>
      </c>
      <c r="I6" t="s">
        <v>523</v>
      </c>
      <c r="J6">
        <v>1048576</v>
      </c>
      <c r="K6">
        <v>8192</v>
      </c>
      <c r="L6" s="1" t="s">
        <v>524</v>
      </c>
      <c r="M6">
        <v>1</v>
      </c>
      <c r="N6">
        <v>0.95</v>
      </c>
      <c r="O6">
        <v>40</v>
      </c>
      <c r="P6">
        <v>2</v>
      </c>
    </row>
    <row r="7" spans="2:17" ht="72">
      <c r="B7" s="3">
        <v>46043</v>
      </c>
      <c r="E7" t="s">
        <v>525</v>
      </c>
      <c r="F7">
        <v>2</v>
      </c>
      <c r="G7" t="s">
        <v>526</v>
      </c>
      <c r="H7" t="s">
        <v>526</v>
      </c>
      <c r="I7" t="s">
        <v>562</v>
      </c>
      <c r="J7">
        <v>1048576</v>
      </c>
      <c r="K7">
        <v>8192</v>
      </c>
      <c r="L7" s="1" t="s">
        <v>511</v>
      </c>
      <c r="M7">
        <v>1</v>
      </c>
      <c r="N7">
        <v>0.95</v>
      </c>
      <c r="O7">
        <v>40</v>
      </c>
      <c r="P7">
        <v>2</v>
      </c>
    </row>
    <row r="8" spans="2:17" ht="72">
      <c r="B8" s="3">
        <v>46044</v>
      </c>
      <c r="E8" t="s">
        <v>565</v>
      </c>
      <c r="F8">
        <v>2</v>
      </c>
      <c r="G8" t="s">
        <v>566</v>
      </c>
      <c r="H8" s="1" t="s">
        <v>567</v>
      </c>
      <c r="I8" s="1" t="s">
        <v>568</v>
      </c>
      <c r="J8">
        <v>1048576</v>
      </c>
      <c r="K8">
        <v>8192</v>
      </c>
      <c r="L8" s="1" t="s">
        <v>511</v>
      </c>
      <c r="M8">
        <v>1</v>
      </c>
      <c r="N8">
        <v>0.95</v>
      </c>
      <c r="O8">
        <v>40</v>
      </c>
      <c r="P8">
        <v>2</v>
      </c>
    </row>
    <row r="9" spans="2:17" ht="54">
      <c r="B9" s="3">
        <v>46050</v>
      </c>
      <c r="E9" t="s">
        <v>594</v>
      </c>
      <c r="F9">
        <v>2</v>
      </c>
      <c r="G9" t="s">
        <v>595</v>
      </c>
      <c r="H9" s="1" t="s">
        <v>595</v>
      </c>
      <c r="I9" s="1" t="s">
        <v>596</v>
      </c>
      <c r="J9">
        <v>1048576</v>
      </c>
      <c r="K9">
        <v>8192</v>
      </c>
      <c r="L9" s="1" t="s">
        <v>524</v>
      </c>
      <c r="M9">
        <v>1</v>
      </c>
      <c r="N9">
        <v>0.95</v>
      </c>
      <c r="O9">
        <v>40</v>
      </c>
      <c r="P9">
        <v>2</v>
      </c>
    </row>
    <row r="10" spans="2:17" ht="72">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
  <cols>
    <col min="2" max="2" width="51.69921875" customWidth="1"/>
    <col min="3" max="3" width="51.19921875" customWidth="1"/>
    <col min="5" max="5" width="10.19921875" bestFit="1" customWidth="1"/>
  </cols>
  <sheetData>
    <row r="1" spans="2:5">
      <c r="E1" s="3">
        <f ca="1">TODAY()</f>
        <v>46084</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4">
      <c r="B9" s="1" t="s">
        <v>58</v>
      </c>
      <c r="C9" s="1" t="s">
        <v>59</v>
      </c>
    </row>
    <row r="10" spans="2:5" ht="36">
      <c r="B10" s="1" t="s">
        <v>60</v>
      </c>
      <c r="C10" s="1" t="s">
        <v>61</v>
      </c>
    </row>
    <row r="11" spans="2:5" ht="36">
      <c r="B11" s="1" t="s">
        <v>62</v>
      </c>
      <c r="C11" s="1" t="s">
        <v>63</v>
      </c>
    </row>
    <row r="12" spans="2:5" ht="54">
      <c r="B12" s="1" t="s">
        <v>64</v>
      </c>
      <c r="C12" s="1" t="s">
        <v>65</v>
      </c>
      <c r="E12" s="3"/>
    </row>
    <row r="14" spans="2:5">
      <c r="B14" s="1" t="s">
        <v>66</v>
      </c>
      <c r="C14" s="1" t="s">
        <v>67</v>
      </c>
    </row>
    <row r="16" spans="2:5" ht="36">
      <c r="B16" s="1" t="s">
        <v>68</v>
      </c>
      <c r="C16" s="1" t="s">
        <v>69</v>
      </c>
    </row>
    <row r="18" spans="2:5" ht="72">
      <c r="B18" s="1" t="s">
        <v>70</v>
      </c>
      <c r="C18" s="1" t="s">
        <v>71</v>
      </c>
      <c r="E18" s="3"/>
    </row>
    <row r="19" spans="2:5" ht="90">
      <c r="B19" s="1" t="s">
        <v>72</v>
      </c>
      <c r="C19" s="1" t="s">
        <v>73</v>
      </c>
      <c r="E19" s="3"/>
    </row>
    <row r="20" spans="2:5" ht="54">
      <c r="B20" s="1" t="s">
        <v>74</v>
      </c>
      <c r="C20" s="1" t="s">
        <v>75</v>
      </c>
      <c r="E20" s="3">
        <v>46037</v>
      </c>
    </row>
    <row r="21" spans="2:5" ht="54">
      <c r="B21" s="1" t="s">
        <v>81</v>
      </c>
      <c r="C21" s="1" t="s">
        <v>82</v>
      </c>
      <c r="E21" s="3">
        <v>46038</v>
      </c>
    </row>
    <row r="22" spans="2:5" ht="36">
      <c r="B22" s="1" t="s">
        <v>89</v>
      </c>
      <c r="C22" s="1" t="s">
        <v>90</v>
      </c>
      <c r="E22" s="3">
        <v>46038</v>
      </c>
    </row>
    <row r="23" spans="2:5" ht="72">
      <c r="B23" s="1" t="s">
        <v>124</v>
      </c>
      <c r="C23" s="1" t="s">
        <v>125</v>
      </c>
      <c r="E23" s="3">
        <v>46038</v>
      </c>
    </row>
    <row r="24" spans="2:5" ht="54">
      <c r="B24" s="1" t="s">
        <v>291</v>
      </c>
      <c r="C24" s="1" t="s">
        <v>292</v>
      </c>
      <c r="E24" s="3">
        <v>46039</v>
      </c>
    </row>
    <row r="26" spans="2:5">
      <c r="B26" s="1" t="s">
        <v>189</v>
      </c>
      <c r="C26" s="1" t="s">
        <v>293</v>
      </c>
    </row>
    <row r="28" spans="2:5" ht="54">
      <c r="B28" s="1" t="s">
        <v>294</v>
      </c>
      <c r="C28" s="1" t="s">
        <v>295</v>
      </c>
      <c r="E28" s="3">
        <v>46039</v>
      </c>
    </row>
    <row r="29" spans="2:5" ht="36">
      <c r="B29" s="1" t="s">
        <v>547</v>
      </c>
      <c r="C29" s="1" t="s">
        <v>548</v>
      </c>
      <c r="E29" s="3">
        <v>46043</v>
      </c>
    </row>
    <row r="30" spans="2:5" ht="306">
      <c r="B30" s="1" t="s">
        <v>549</v>
      </c>
    </row>
    <row r="31" spans="2:5" ht="36">
      <c r="B31" s="1" t="s">
        <v>550</v>
      </c>
      <c r="C31" s="1" t="s">
        <v>551</v>
      </c>
      <c r="E31" s="3">
        <v>46043</v>
      </c>
    </row>
    <row r="33" spans="2:5">
      <c r="B33" s="1" t="s">
        <v>552</v>
      </c>
      <c r="C33" s="1" t="s">
        <v>553</v>
      </c>
      <c r="E33" s="3">
        <v>46043</v>
      </c>
    </row>
    <row r="35" spans="2:5" ht="36">
      <c r="B35" s="1" t="s">
        <v>554</v>
      </c>
      <c r="C35" s="1" t="s">
        <v>555</v>
      </c>
    </row>
    <row r="36" spans="2:5" ht="36">
      <c r="B36" s="1" t="s">
        <v>556</v>
      </c>
      <c r="C36" s="1" t="s">
        <v>557</v>
      </c>
      <c r="E36" s="3">
        <v>46043</v>
      </c>
    </row>
    <row r="37" spans="2:5" ht="54">
      <c r="B37" s="1" t="s">
        <v>558</v>
      </c>
      <c r="C37" s="1" t="s">
        <v>559</v>
      </c>
      <c r="E37" s="3">
        <v>46043</v>
      </c>
    </row>
    <row r="38" spans="2:5" ht="90">
      <c r="B38" s="1" t="s">
        <v>560</v>
      </c>
      <c r="C38" s="1" t="s">
        <v>561</v>
      </c>
      <c r="E38" s="3">
        <v>46043</v>
      </c>
    </row>
    <row r="40" spans="2:5">
      <c r="B40" s="1" t="s">
        <v>572</v>
      </c>
      <c r="C40" s="1" t="s">
        <v>573</v>
      </c>
    </row>
    <row r="42" spans="2:5" ht="54">
      <c r="B42" s="1" t="s">
        <v>574</v>
      </c>
      <c r="C42" s="1" t="s">
        <v>575</v>
      </c>
      <c r="E42" s="3">
        <v>46045</v>
      </c>
    </row>
    <row r="43" spans="2:5">
      <c r="B43" s="1" t="s">
        <v>576</v>
      </c>
      <c r="C43" s="1" t="s">
        <v>577</v>
      </c>
    </row>
    <row r="44" spans="2:5" ht="36">
      <c r="B44" s="1" t="s">
        <v>578</v>
      </c>
      <c r="C44" s="1" t="s">
        <v>579</v>
      </c>
    </row>
    <row r="45" spans="2:5" ht="36">
      <c r="B45" s="1" t="s">
        <v>580</v>
      </c>
      <c r="C45" s="1" t="s">
        <v>581</v>
      </c>
      <c r="E45" s="3">
        <v>46045</v>
      </c>
    </row>
    <row r="46" spans="2:5" ht="54">
      <c r="B46" s="1" t="s">
        <v>590</v>
      </c>
      <c r="C46" s="1" t="s">
        <v>591</v>
      </c>
      <c r="E46" s="3">
        <v>46050</v>
      </c>
    </row>
    <row r="47" spans="2:5" ht="54">
      <c r="B47" s="1" t="s">
        <v>598</v>
      </c>
      <c r="C47" s="1" t="s">
        <v>599</v>
      </c>
      <c r="E47" s="3">
        <v>46050</v>
      </c>
    </row>
    <row r="48" spans="2:5" ht="36">
      <c r="B48" s="1" t="s">
        <v>600</v>
      </c>
      <c r="C48" s="1" t="s">
        <v>601</v>
      </c>
      <c r="E48" s="3">
        <v>46050</v>
      </c>
    </row>
    <row r="49" spans="2:5" ht="396">
      <c r="B49" s="1" t="s">
        <v>602</v>
      </c>
      <c r="E49" s="3">
        <v>46050</v>
      </c>
    </row>
    <row r="51" spans="2:5">
      <c r="B51" s="1" t="s">
        <v>603</v>
      </c>
      <c r="C51" s="1" t="s">
        <v>604</v>
      </c>
      <c r="E51" s="3">
        <v>46050</v>
      </c>
    </row>
    <row r="53" spans="2:5" ht="36">
      <c r="B53" s="1" t="s">
        <v>605</v>
      </c>
      <c r="C53" s="1" t="s">
        <v>606</v>
      </c>
    </row>
    <row r="54" spans="2:5" ht="36">
      <c r="B54" s="1" t="s">
        <v>607</v>
      </c>
      <c r="C54" s="1" t="s">
        <v>608</v>
      </c>
    </row>
    <row r="55" spans="2:5" ht="54">
      <c r="B55" s="1" t="s">
        <v>609</v>
      </c>
      <c r="C55" s="1" t="s">
        <v>610</v>
      </c>
    </row>
    <row r="56" spans="2:5" ht="36">
      <c r="B56" s="1" t="s">
        <v>611</v>
      </c>
      <c r="C56" s="1" t="s">
        <v>612</v>
      </c>
      <c r="E56" s="3">
        <v>46050</v>
      </c>
    </row>
    <row r="57" spans="2:5" ht="36">
      <c r="B57" s="1" t="s">
        <v>617</v>
      </c>
      <c r="C57" s="1" t="s">
        <v>618</v>
      </c>
      <c r="E57" s="3">
        <v>46060</v>
      </c>
    </row>
    <row r="59" spans="2:5">
      <c r="B59" s="1" t="s">
        <v>619</v>
      </c>
      <c r="C59" s="1" t="s">
        <v>620</v>
      </c>
    </row>
    <row r="61" spans="2:5" ht="36">
      <c r="B61" s="1" t="s">
        <v>621</v>
      </c>
      <c r="C61" s="1" t="s">
        <v>622</v>
      </c>
    </row>
    <row r="63" spans="2:5">
      <c r="B63" t="s">
        <v>623</v>
      </c>
      <c r="C63" t="s">
        <v>624</v>
      </c>
    </row>
    <row r="65" spans="2:5" ht="36">
      <c r="B65" s="1" t="s">
        <v>625</v>
      </c>
      <c r="C65" s="1" t="s">
        <v>626</v>
      </c>
      <c r="E65" s="3">
        <v>46060</v>
      </c>
    </row>
    <row r="66" spans="2:5" ht="54">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
  <cols>
    <col min="3" max="3" width="81.699218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8"/>
  <sheetViews>
    <sheetView topLeftCell="A18" workbookViewId="0">
      <selection activeCell="B33" sqref="B33"/>
    </sheetView>
  </sheetViews>
  <sheetFormatPr defaultRowHeight="18"/>
  <cols>
    <col min="2" max="2" width="73.09765625" customWidth="1"/>
    <col min="3" max="3" width="72.5" customWidth="1"/>
    <col min="5" max="5" width="10.19921875" bestFit="1" customWidth="1"/>
  </cols>
  <sheetData>
    <row r="1" spans="2:5">
      <c r="E1" s="3">
        <f ca="1">TODAY()</f>
        <v>46084</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6">
      <c r="B9" s="1" t="s">
        <v>132</v>
      </c>
      <c r="C9" s="1" t="s">
        <v>133</v>
      </c>
    </row>
    <row r="10" spans="2:5" ht="36">
      <c r="B10" s="1" t="s">
        <v>134</v>
      </c>
      <c r="C10" s="1" t="s">
        <v>135</v>
      </c>
    </row>
    <row r="11" spans="2:5" ht="36">
      <c r="B11" s="1" t="s">
        <v>136</v>
      </c>
      <c r="C11" s="1" t="s">
        <v>137</v>
      </c>
    </row>
    <row r="12" spans="2:5" ht="36">
      <c r="B12" s="1" t="s">
        <v>138</v>
      </c>
      <c r="C12" s="1" t="s">
        <v>139</v>
      </c>
    </row>
    <row r="13" spans="2:5" ht="36">
      <c r="B13" s="1" t="s">
        <v>140</v>
      </c>
      <c r="C13" s="1" t="s">
        <v>141</v>
      </c>
    </row>
    <row r="14" spans="2:5" ht="36">
      <c r="B14" s="1" t="s">
        <v>142</v>
      </c>
      <c r="C14" s="1" t="s">
        <v>143</v>
      </c>
    </row>
    <row r="15" spans="2:5">
      <c r="B15" s="1"/>
      <c r="C15" s="1"/>
    </row>
    <row r="16" spans="2:5" ht="36">
      <c r="B16" s="1" t="s">
        <v>226</v>
      </c>
      <c r="C16" s="1" t="s">
        <v>227</v>
      </c>
    </row>
    <row r="17" spans="2:5">
      <c r="B17" s="1"/>
      <c r="C17" s="1"/>
    </row>
    <row r="18" spans="2:5" ht="54">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0">
      <c r="B23" s="1" t="s">
        <v>544</v>
      </c>
      <c r="C23" s="1" t="s">
        <v>545</v>
      </c>
      <c r="E23" s="3">
        <v>46043</v>
      </c>
    </row>
    <row r="25" spans="2:5" ht="36">
      <c r="B25" s="1" t="s">
        <v>563</v>
      </c>
      <c r="C25" s="1" t="s">
        <v>564</v>
      </c>
      <c r="E25" s="3">
        <v>46044</v>
      </c>
    </row>
    <row r="26" spans="2:5" ht="54">
      <c r="B26" s="1" t="s">
        <v>582</v>
      </c>
      <c r="C26" s="1" t="s">
        <v>583</v>
      </c>
      <c r="E26" s="3">
        <v>46045</v>
      </c>
    </row>
    <row r="27" spans="2:5" ht="54">
      <c r="B27" s="1" t="s">
        <v>586</v>
      </c>
      <c r="C27" s="1" t="s">
        <v>587</v>
      </c>
      <c r="E27" s="3">
        <v>46050</v>
      </c>
    </row>
    <row r="28" spans="2:5" ht="72">
      <c r="B28" s="1" t="s">
        <v>1057</v>
      </c>
      <c r="C28" s="1" t="s">
        <v>1058</v>
      </c>
      <c r="E28" s="3">
        <v>46081</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10" workbookViewId="0">
      <selection activeCell="E17" sqref="E17"/>
    </sheetView>
  </sheetViews>
  <sheetFormatPr defaultRowHeight="18"/>
  <cols>
    <col min="2" max="2" width="45.09765625" customWidth="1"/>
    <col min="3" max="3" width="59.5" customWidth="1"/>
    <col min="5" max="5" width="10.19921875" bestFit="1" customWidth="1"/>
  </cols>
  <sheetData>
    <row r="1" spans="2:5">
      <c r="E1" s="3">
        <f ca="1">TODAY()</f>
        <v>46084</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6">
      <c r="B10" s="1" t="s">
        <v>532</v>
      </c>
      <c r="C10" s="1" t="s">
        <v>533</v>
      </c>
    </row>
    <row r="11" spans="2:5" ht="36">
      <c r="B11" s="1" t="s">
        <v>534</v>
      </c>
      <c r="C11" s="1" t="s">
        <v>535</v>
      </c>
    </row>
    <row r="12" spans="2:5" ht="72">
      <c r="B12" s="1" t="s">
        <v>536</v>
      </c>
      <c r="C12" s="1" t="s">
        <v>537</v>
      </c>
    </row>
    <row r="13" spans="2:5" ht="36">
      <c r="B13" s="1" t="s">
        <v>538</v>
      </c>
      <c r="C13" s="1" t="s">
        <v>539</v>
      </c>
    </row>
    <row r="14" spans="2:5" ht="72">
      <c r="B14" s="1" t="s">
        <v>540</v>
      </c>
      <c r="C14" s="1" t="s">
        <v>541</v>
      </c>
      <c r="E14" s="3">
        <v>46043</v>
      </c>
    </row>
    <row r="15" spans="2:5" ht="54">
      <c r="B15" s="1" t="s">
        <v>542</v>
      </c>
      <c r="C15" s="1" t="s">
        <v>543</v>
      </c>
      <c r="E15" s="3">
        <v>46043</v>
      </c>
    </row>
    <row r="16" spans="2:5" ht="36">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13113-47E4-448E-9C7D-0F9377A6123C}">
  <sheetPr>
    <tabColor theme="5"/>
  </sheetPr>
  <dimension ref="A1"/>
  <sheetViews>
    <sheetView workbookViewId="0">
      <selection activeCell="B2" sqref="B2"/>
    </sheetView>
  </sheetViews>
  <sheetFormatPr defaultRowHeight="18"/>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
  <cols>
    <col min="3" max="3" width="43.19921875" customWidth="1"/>
    <col min="4" max="4" width="48.3984375" customWidth="1"/>
  </cols>
  <sheetData>
    <row r="2" spans="3:4">
      <c r="C2" s="2" t="s">
        <v>310</v>
      </c>
    </row>
    <row r="4" spans="3:4">
      <c r="C4" t="s">
        <v>311</v>
      </c>
      <c r="D4" t="s">
        <v>312</v>
      </c>
    </row>
    <row r="6" spans="3:4" ht="36">
      <c r="C6" s="1" t="s">
        <v>306</v>
      </c>
      <c r="D6" s="1" t="s">
        <v>307</v>
      </c>
    </row>
    <row r="7" spans="3:4" ht="36">
      <c r="C7" s="1" t="s">
        <v>308</v>
      </c>
      <c r="D7" s="1" t="s">
        <v>309</v>
      </c>
    </row>
    <row r="8" spans="3:4" ht="108">
      <c r="C8" s="1" t="s">
        <v>570</v>
      </c>
      <c r="D8" s="1" t="s">
        <v>571</v>
      </c>
    </row>
    <row r="9" spans="3:4" ht="36">
      <c r="C9" s="1" t="s">
        <v>592</v>
      </c>
      <c r="D9" s="1" t="s">
        <v>593</v>
      </c>
    </row>
  </sheetData>
  <phoneticPr fontId="1"/>
  <hyperlinks>
    <hyperlink ref="C2" r:id="rId1" xr:uid="{2D572F08-FF13-4D66-AD9B-8810B4A8216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
  <cols>
    <col min="3" max="3" width="31.59765625" bestFit="1" customWidth="1"/>
    <col min="4" max="4" width="46.59765625" bestFit="1" customWidth="1"/>
    <col min="5" max="5" width="94" bestFit="1" customWidth="1"/>
  </cols>
  <sheetData>
    <row r="3" spans="3:5" ht="198">
      <c r="C3" t="s">
        <v>91</v>
      </c>
      <c r="D3" t="s">
        <v>92</v>
      </c>
      <c r="E3" s="1" t="s">
        <v>93</v>
      </c>
    </row>
    <row r="4" spans="3:5" ht="144">
      <c r="C4" t="s">
        <v>94</v>
      </c>
      <c r="D4" t="s">
        <v>96</v>
      </c>
      <c r="E4" s="1" t="s">
        <v>95</v>
      </c>
    </row>
    <row r="5" spans="3:5" ht="288">
      <c r="C5" s="1" t="s">
        <v>97</v>
      </c>
      <c r="D5" s="1" t="s">
        <v>98</v>
      </c>
      <c r="E5" s="1" t="s">
        <v>99</v>
      </c>
    </row>
    <row r="6" spans="3:5" ht="409.6">
      <c r="C6" t="s">
        <v>112</v>
      </c>
      <c r="D6" t="s">
        <v>113</v>
      </c>
      <c r="E6" s="1" t="s">
        <v>114</v>
      </c>
    </row>
    <row r="7" spans="3:5" ht="409.6">
      <c r="C7" t="s">
        <v>115</v>
      </c>
      <c r="D7" t="s">
        <v>116</v>
      </c>
      <c r="E7" s="1" t="s">
        <v>117</v>
      </c>
    </row>
    <row r="8" spans="3:5" ht="252">
      <c r="C8" t="s">
        <v>118</v>
      </c>
      <c r="D8" s="1" t="s">
        <v>119</v>
      </c>
      <c r="E8" s="1" t="s">
        <v>120</v>
      </c>
    </row>
    <row r="9" spans="3:5" ht="126">
      <c r="C9" t="s">
        <v>121</v>
      </c>
      <c r="D9" s="1" t="s">
        <v>122</v>
      </c>
      <c r="E9" s="1" t="s">
        <v>123</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67"/>
  <sheetViews>
    <sheetView zoomScale="70" zoomScaleNormal="70" workbookViewId="0">
      <pane xSplit="6" ySplit="2" topLeftCell="H241" activePane="bottomRight" state="frozen"/>
      <selection pane="topRight" activeCell="G1" sqref="G1"/>
      <selection pane="bottomLeft" activeCell="A3" sqref="A3"/>
      <selection pane="bottomRight" activeCell="H244" sqref="H244"/>
    </sheetView>
  </sheetViews>
  <sheetFormatPr defaultRowHeight="18"/>
  <cols>
    <col min="3" max="3" width="58" bestFit="1" customWidth="1"/>
    <col min="4" max="4" width="45.09765625" bestFit="1" customWidth="1"/>
    <col min="5" max="5" width="67.8984375" customWidth="1"/>
    <col min="6" max="6" width="59.59765625" customWidth="1"/>
    <col min="7" max="7" width="10.19921875" bestFit="1" customWidth="1"/>
    <col min="8" max="8" width="23.5" bestFit="1" customWidth="1"/>
    <col min="9" max="9" width="54.5" bestFit="1" customWidth="1"/>
    <col min="10" max="10" width="52.5" customWidth="1"/>
    <col min="11" max="11" width="10.19921875" bestFit="1" customWidth="1"/>
    <col min="12" max="12" width="17.09765625" bestFit="1" customWidth="1"/>
    <col min="14" max="14" width="10.19921875" bestFit="1" customWidth="1"/>
    <col min="15" max="15" width="17.09765625" bestFit="1" customWidth="1"/>
    <col min="17" max="17" width="7.09765625" bestFit="1" customWidth="1"/>
  </cols>
  <sheetData>
    <row r="2" spans="3:17">
      <c r="D2" t="s">
        <v>660</v>
      </c>
      <c r="F2" t="s">
        <v>635</v>
      </c>
      <c r="I2" t="s">
        <v>677</v>
      </c>
      <c r="J2" t="s">
        <v>635</v>
      </c>
      <c r="K2" t="s">
        <v>674</v>
      </c>
      <c r="L2" t="s">
        <v>675</v>
      </c>
      <c r="M2" t="s">
        <v>678</v>
      </c>
      <c r="N2" t="s">
        <v>674</v>
      </c>
      <c r="O2" t="s">
        <v>675</v>
      </c>
      <c r="P2" t="s">
        <v>678</v>
      </c>
      <c r="Q2" t="s">
        <v>793</v>
      </c>
    </row>
    <row r="3" spans="3:17" ht="90">
      <c r="C3" s="2" t="s">
        <v>630</v>
      </c>
      <c r="D3" t="s">
        <v>631</v>
      </c>
      <c r="E3" s="1" t="s">
        <v>632</v>
      </c>
      <c r="F3" s="1" t="s">
        <v>633</v>
      </c>
    </row>
    <row r="4" spans="3:17" ht="126">
      <c r="F4" s="1" t="s">
        <v>634</v>
      </c>
      <c r="G4" s="3">
        <v>46066</v>
      </c>
      <c r="H4" t="s">
        <v>636</v>
      </c>
      <c r="I4" t="s">
        <v>676</v>
      </c>
      <c r="J4" s="1" t="s">
        <v>655</v>
      </c>
      <c r="K4" s="3">
        <v>46066</v>
      </c>
      <c r="L4">
        <v>31</v>
      </c>
      <c r="M4">
        <v>3642</v>
      </c>
      <c r="N4" s="3">
        <v>46067</v>
      </c>
      <c r="O4">
        <v>42</v>
      </c>
      <c r="P4">
        <v>3639</v>
      </c>
      <c r="Q4">
        <v>1</v>
      </c>
    </row>
    <row r="5" spans="3:17" ht="216">
      <c r="H5" t="s">
        <v>637</v>
      </c>
      <c r="J5" s="1" t="s">
        <v>656</v>
      </c>
      <c r="K5" s="3">
        <v>46066</v>
      </c>
      <c r="L5">
        <v>19</v>
      </c>
      <c r="M5">
        <v>3642</v>
      </c>
      <c r="N5" s="3">
        <v>46067</v>
      </c>
      <c r="O5">
        <v>33</v>
      </c>
      <c r="P5">
        <v>3639</v>
      </c>
      <c r="Q5">
        <v>1</v>
      </c>
    </row>
    <row r="6" spans="3:17" ht="72">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08">
      <c r="C23" s="2" t="s">
        <v>658</v>
      </c>
      <c r="D23" t="s">
        <v>659</v>
      </c>
      <c r="E23" s="1" t="s">
        <v>661</v>
      </c>
      <c r="F23" s="1" t="s">
        <v>662</v>
      </c>
    </row>
    <row r="24" spans="3:16" ht="126">
      <c r="F24" s="1" t="s">
        <v>663</v>
      </c>
      <c r="G24" s="3">
        <v>46066</v>
      </c>
      <c r="H24" t="s">
        <v>664</v>
      </c>
      <c r="I24" t="s">
        <v>676</v>
      </c>
      <c r="J24" s="1" t="s">
        <v>679</v>
      </c>
      <c r="K24" s="3">
        <v>46066</v>
      </c>
      <c r="L24">
        <v>26</v>
      </c>
      <c r="M24">
        <v>3642</v>
      </c>
      <c r="N24" s="3">
        <v>46067</v>
      </c>
      <c r="O24">
        <v>35</v>
      </c>
      <c r="P24">
        <v>3639</v>
      </c>
    </row>
    <row r="25" spans="3:16" ht="270">
      <c r="H25" t="s">
        <v>665</v>
      </c>
      <c r="J25" s="1" t="s">
        <v>680</v>
      </c>
      <c r="K25" s="3">
        <v>46066</v>
      </c>
      <c r="L25">
        <v>24</v>
      </c>
      <c r="M25">
        <v>3642</v>
      </c>
      <c r="N25" s="3">
        <v>46067</v>
      </c>
      <c r="O25">
        <v>32</v>
      </c>
      <c r="P25">
        <v>3639</v>
      </c>
    </row>
    <row r="26" spans="3:16" ht="90">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08">
      <c r="C34" s="2" t="s">
        <v>682</v>
      </c>
      <c r="D34" t="s">
        <v>683</v>
      </c>
      <c r="E34" s="1" t="s">
        <v>684</v>
      </c>
      <c r="F34" s="1" t="s">
        <v>685</v>
      </c>
    </row>
    <row r="35" spans="3:16" ht="180">
      <c r="F35" s="1" t="s">
        <v>686</v>
      </c>
      <c r="G35" s="3">
        <v>46066</v>
      </c>
      <c r="H35" t="s">
        <v>687</v>
      </c>
      <c r="I35" t="s">
        <v>676</v>
      </c>
      <c r="J35" s="1" t="s">
        <v>710</v>
      </c>
      <c r="K35" s="3">
        <v>46066</v>
      </c>
      <c r="L35">
        <v>16</v>
      </c>
      <c r="M35">
        <v>3642</v>
      </c>
      <c r="N35" s="3">
        <v>46067</v>
      </c>
      <c r="O35">
        <v>25</v>
      </c>
      <c r="P35">
        <v>3639</v>
      </c>
    </row>
    <row r="36" spans="3:16" ht="108">
      <c r="H36" t="s">
        <v>688</v>
      </c>
      <c r="J36" s="1" t="s">
        <v>711</v>
      </c>
      <c r="K36" s="3">
        <v>46066</v>
      </c>
      <c r="L36">
        <v>28</v>
      </c>
      <c r="M36">
        <v>3642</v>
      </c>
      <c r="N36" s="3">
        <v>46067</v>
      </c>
      <c r="O36">
        <v>42</v>
      </c>
      <c r="P36">
        <v>3639</v>
      </c>
    </row>
    <row r="37" spans="3:16" ht="90">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6">
      <c r="C58" s="2" t="s">
        <v>713</v>
      </c>
      <c r="D58" t="s">
        <v>714</v>
      </c>
      <c r="E58" s="1" t="s">
        <v>715</v>
      </c>
      <c r="F58" s="1" t="s">
        <v>716</v>
      </c>
    </row>
    <row r="59" spans="3:16" ht="180">
      <c r="F59" s="1" t="s">
        <v>717</v>
      </c>
      <c r="G59" s="3">
        <v>46066</v>
      </c>
      <c r="H59" t="s">
        <v>718</v>
      </c>
      <c r="I59" t="s">
        <v>676</v>
      </c>
      <c r="J59" s="1" t="s">
        <v>732</v>
      </c>
      <c r="K59" s="3">
        <v>46066</v>
      </c>
      <c r="L59">
        <v>13</v>
      </c>
      <c r="M59">
        <v>3642</v>
      </c>
      <c r="N59" s="3">
        <v>46067</v>
      </c>
      <c r="O59">
        <v>25</v>
      </c>
      <c r="P59">
        <v>3639</v>
      </c>
    </row>
    <row r="60" spans="3:16" ht="198">
      <c r="H60" t="s">
        <v>719</v>
      </c>
      <c r="J60" s="1" t="s">
        <v>733</v>
      </c>
      <c r="K60" s="3">
        <v>46066</v>
      </c>
      <c r="L60">
        <v>16</v>
      </c>
      <c r="M60">
        <v>3642</v>
      </c>
      <c r="N60" s="3">
        <v>46067</v>
      </c>
      <c r="O60">
        <v>27</v>
      </c>
      <c r="P60">
        <v>3639</v>
      </c>
    </row>
    <row r="61" spans="3:16" ht="108">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6">
      <c r="C73" s="2" t="s">
        <v>735</v>
      </c>
      <c r="D73" s="2" t="s">
        <v>736</v>
      </c>
      <c r="E73" s="1" t="s">
        <v>737</v>
      </c>
      <c r="F73" s="1" t="s">
        <v>738</v>
      </c>
    </row>
    <row r="74" spans="3:16" ht="252">
      <c r="F74" s="1" t="s">
        <v>739</v>
      </c>
      <c r="G74" s="3">
        <v>46066</v>
      </c>
      <c r="H74" t="s">
        <v>740</v>
      </c>
      <c r="I74" t="s">
        <v>676</v>
      </c>
      <c r="J74" s="1" t="s">
        <v>769</v>
      </c>
      <c r="K74" s="3">
        <v>46066</v>
      </c>
      <c r="L74">
        <v>17</v>
      </c>
      <c r="M74">
        <v>3642</v>
      </c>
      <c r="N74" s="3">
        <v>46067</v>
      </c>
      <c r="O74">
        <v>32</v>
      </c>
      <c r="P74">
        <v>3639</v>
      </c>
    </row>
    <row r="75" spans="3:16" ht="108">
      <c r="H75" t="s">
        <v>741</v>
      </c>
      <c r="J75" s="1" t="s">
        <v>770</v>
      </c>
      <c r="K75" s="3">
        <v>46066</v>
      </c>
      <c r="L75">
        <v>11</v>
      </c>
      <c r="M75">
        <v>3642</v>
      </c>
      <c r="N75" s="3">
        <v>46067</v>
      </c>
      <c r="O75">
        <v>23</v>
      </c>
      <c r="P75">
        <v>3639</v>
      </c>
    </row>
    <row r="76" spans="3:16" ht="90">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2">
      <c r="C103" s="2" t="s">
        <v>772</v>
      </c>
      <c r="D103" t="s">
        <v>773</v>
      </c>
      <c r="E103" s="1" t="s">
        <v>774</v>
      </c>
      <c r="F103" s="1" t="s">
        <v>775</v>
      </c>
    </row>
    <row r="104" spans="3:16" ht="180">
      <c r="F104" s="1" t="s">
        <v>776</v>
      </c>
      <c r="G104" s="3">
        <v>46066</v>
      </c>
      <c r="H104" t="s">
        <v>777</v>
      </c>
      <c r="I104" t="s">
        <v>676</v>
      </c>
      <c r="J104" s="1" t="s">
        <v>790</v>
      </c>
      <c r="K104" s="3">
        <v>46066</v>
      </c>
      <c r="L104">
        <v>3</v>
      </c>
      <c r="M104">
        <v>3642</v>
      </c>
      <c r="N104" s="3">
        <v>46067</v>
      </c>
      <c r="O104">
        <v>23</v>
      </c>
      <c r="P104">
        <v>3639</v>
      </c>
    </row>
    <row r="105" spans="3:16" ht="180">
      <c r="H105" t="s">
        <v>778</v>
      </c>
      <c r="J105" s="1" t="s">
        <v>791</v>
      </c>
      <c r="K105" s="3">
        <v>46066</v>
      </c>
      <c r="L105">
        <v>3</v>
      </c>
      <c r="M105">
        <v>3642</v>
      </c>
      <c r="N105" s="3">
        <v>46067</v>
      </c>
      <c r="O105">
        <v>33</v>
      </c>
      <c r="P105">
        <v>3639</v>
      </c>
    </row>
    <row r="106" spans="3:16" ht="108">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2">
      <c r="C118" s="2" t="s">
        <v>801</v>
      </c>
      <c r="D118" t="s">
        <v>802</v>
      </c>
      <c r="E118" s="1" t="s">
        <v>803</v>
      </c>
      <c r="F118" t="s">
        <v>804</v>
      </c>
    </row>
    <row r="119" spans="3:13" ht="409.6">
      <c r="F119" s="1" t="s">
        <v>805</v>
      </c>
      <c r="G119" s="3">
        <v>46068</v>
      </c>
      <c r="H119" t="s">
        <v>642</v>
      </c>
      <c r="I119" s="1" t="s">
        <v>864</v>
      </c>
      <c r="J119" s="1" t="s">
        <v>865</v>
      </c>
      <c r="K119" s="3">
        <v>46068</v>
      </c>
      <c r="L119">
        <v>13</v>
      </c>
      <c r="M119">
        <v>3640</v>
      </c>
    </row>
    <row r="120" spans="3:13" ht="126">
      <c r="H120" t="s">
        <v>806</v>
      </c>
      <c r="J120" s="1" t="s">
        <v>866</v>
      </c>
      <c r="K120" s="3">
        <v>46068</v>
      </c>
      <c r="L120">
        <v>11</v>
      </c>
      <c r="M120">
        <v>3640</v>
      </c>
    </row>
    <row r="121" spans="3:13" ht="90">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44">
      <c r="C179" s="2" t="s">
        <v>868</v>
      </c>
      <c r="D179" t="s">
        <v>869</v>
      </c>
      <c r="E179" s="1" t="s">
        <v>870</v>
      </c>
      <c r="F179" s="1" t="s">
        <v>871</v>
      </c>
    </row>
    <row r="180" spans="3:13" ht="36">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2">
      <c r="C183" s="2" t="s">
        <v>877</v>
      </c>
      <c r="D183" t="s">
        <v>878</v>
      </c>
      <c r="E183" s="1" t="s">
        <v>879</v>
      </c>
      <c r="F183" s="1" t="s">
        <v>880</v>
      </c>
    </row>
    <row r="184" spans="3:13" ht="162">
      <c r="F184" s="1" t="s">
        <v>881</v>
      </c>
      <c r="H184" t="s">
        <v>757</v>
      </c>
      <c r="I184" s="1" t="s">
        <v>864</v>
      </c>
      <c r="J184" s="1" t="s">
        <v>892</v>
      </c>
      <c r="K184" s="3">
        <v>46068</v>
      </c>
      <c r="L184">
        <v>8</v>
      </c>
      <c r="M184">
        <v>3639</v>
      </c>
    </row>
    <row r="185" spans="3:13" ht="144">
      <c r="H185" t="s">
        <v>882</v>
      </c>
      <c r="J185" s="1" t="s">
        <v>893</v>
      </c>
      <c r="K185" s="3">
        <v>46068</v>
      </c>
      <c r="L185">
        <v>3</v>
      </c>
      <c r="M185">
        <v>3639</v>
      </c>
    </row>
    <row r="186" spans="3:13" ht="108">
      <c r="H186" t="s">
        <v>883</v>
      </c>
      <c r="J186" s="1" t="s">
        <v>894</v>
      </c>
      <c r="K186" s="3">
        <v>46068</v>
      </c>
      <c r="L186">
        <v>1</v>
      </c>
      <c r="M186">
        <v>3639</v>
      </c>
    </row>
    <row r="187" spans="3:13">
      <c r="C187" s="2"/>
      <c r="E187" s="1"/>
      <c r="F187" s="1"/>
      <c r="H187" t="s">
        <v>884</v>
      </c>
      <c r="J187" s="1" t="s">
        <v>899</v>
      </c>
      <c r="K187" s="3">
        <v>46069</v>
      </c>
    </row>
    <row r="188" spans="3:13">
      <c r="H188" t="s">
        <v>885</v>
      </c>
    </row>
    <row r="189" spans="3:13">
      <c r="H189" t="s">
        <v>886</v>
      </c>
    </row>
    <row r="190" spans="3:13">
      <c r="H190" t="s">
        <v>887</v>
      </c>
    </row>
    <row r="191" spans="3:13">
      <c r="H191" t="s">
        <v>888</v>
      </c>
    </row>
    <row r="192" spans="3:13">
      <c r="H192" t="s">
        <v>889</v>
      </c>
    </row>
    <row r="193" spans="3:13">
      <c r="H193" t="s">
        <v>890</v>
      </c>
    </row>
    <row r="194" spans="3:13">
      <c r="H194" t="s">
        <v>891</v>
      </c>
    </row>
    <row r="195" spans="3:13" ht="409.6">
      <c r="C195" s="2" t="s">
        <v>895</v>
      </c>
      <c r="D195" t="s">
        <v>896</v>
      </c>
      <c r="E195" s="1" t="s">
        <v>897</v>
      </c>
      <c r="F195" s="1" t="s">
        <v>898</v>
      </c>
    </row>
    <row r="196" spans="3:13" ht="108">
      <c r="F196" t="s">
        <v>899</v>
      </c>
      <c r="G196" s="3">
        <v>46069</v>
      </c>
      <c r="H196" t="s">
        <v>900</v>
      </c>
      <c r="I196" s="1" t="s">
        <v>864</v>
      </c>
      <c r="J196" s="1" t="s">
        <v>912</v>
      </c>
      <c r="K196" s="3">
        <v>46069</v>
      </c>
      <c r="L196">
        <v>17</v>
      </c>
      <c r="M196">
        <v>3642</v>
      </c>
    </row>
    <row r="197" spans="3:13" ht="108">
      <c r="H197" t="s">
        <v>901</v>
      </c>
      <c r="J197" s="1" t="s">
        <v>913</v>
      </c>
      <c r="K197" s="3">
        <v>46069</v>
      </c>
      <c r="L197">
        <v>21</v>
      </c>
      <c r="M197">
        <v>3642</v>
      </c>
    </row>
    <row r="198" spans="3:13" ht="72">
      <c r="H198" t="s">
        <v>902</v>
      </c>
      <c r="J198" s="1" t="s">
        <v>914</v>
      </c>
      <c r="K198" s="3">
        <v>46069</v>
      </c>
      <c r="L198">
        <v>23</v>
      </c>
      <c r="M198">
        <v>3642</v>
      </c>
    </row>
    <row r="199" spans="3:13">
      <c r="H199" t="s">
        <v>903</v>
      </c>
    </row>
    <row r="200" spans="3:13">
      <c r="H200" t="s">
        <v>904</v>
      </c>
    </row>
    <row r="201" spans="3:13">
      <c r="H201" t="s">
        <v>905</v>
      </c>
    </row>
    <row r="202" spans="3:13">
      <c r="H202" t="s">
        <v>906</v>
      </c>
    </row>
    <row r="203" spans="3:13">
      <c r="H203" t="s">
        <v>907</v>
      </c>
    </row>
    <row r="204" spans="3:13">
      <c r="H204" t="s">
        <v>908</v>
      </c>
    </row>
    <row r="205" spans="3:13">
      <c r="H205" t="s">
        <v>909</v>
      </c>
    </row>
    <row r="206" spans="3:13">
      <c r="H206" t="s">
        <v>910</v>
      </c>
    </row>
    <row r="207" spans="3:13">
      <c r="H207" t="s">
        <v>911</v>
      </c>
    </row>
    <row r="208" spans="3:13" ht="144">
      <c r="C208" s="2" t="s">
        <v>916</v>
      </c>
      <c r="D208" t="s">
        <v>917</v>
      </c>
      <c r="E208" s="1" t="s">
        <v>918</v>
      </c>
      <c r="F208" s="1" t="s">
        <v>919</v>
      </c>
      <c r="G208" s="3">
        <v>46069</v>
      </c>
    </row>
    <row r="209" spans="3:11" ht="36">
      <c r="F209" s="1" t="s">
        <v>920</v>
      </c>
      <c r="G209" s="3">
        <v>46069</v>
      </c>
      <c r="I209" s="1" t="s">
        <v>873</v>
      </c>
      <c r="J209" s="2" t="s">
        <v>921</v>
      </c>
      <c r="K209" s="3">
        <v>46071</v>
      </c>
    </row>
    <row r="210" spans="3:11" ht="162">
      <c r="C210" s="2" t="s">
        <v>960</v>
      </c>
      <c r="D210" t="s">
        <v>961</v>
      </c>
      <c r="E210" s="1" t="s">
        <v>962</v>
      </c>
      <c r="F210" s="1" t="s">
        <v>963</v>
      </c>
      <c r="G210" s="3"/>
      <c r="I210" s="1"/>
      <c r="J210" s="2"/>
    </row>
    <row r="211" spans="3:11">
      <c r="C211" s="2"/>
      <c r="E211" s="1"/>
      <c r="F211" s="1" t="s">
        <v>964</v>
      </c>
      <c r="G211" s="3">
        <v>46071</v>
      </c>
      <c r="I211" s="1"/>
      <c r="J211" s="2"/>
    </row>
    <row r="212" spans="3:11" ht="36">
      <c r="C212" s="2"/>
      <c r="E212" s="1"/>
      <c r="F212" s="1" t="s">
        <v>965</v>
      </c>
      <c r="G212" s="3">
        <v>46071</v>
      </c>
      <c r="I212" s="1" t="s">
        <v>873</v>
      </c>
      <c r="J212" s="2" t="s">
        <v>966</v>
      </c>
      <c r="K212" s="3">
        <v>46071</v>
      </c>
    </row>
    <row r="213" spans="3:11">
      <c r="C213" s="2"/>
      <c r="E213" s="1"/>
      <c r="F213" s="1"/>
      <c r="G213" s="3"/>
      <c r="I213" s="1"/>
      <c r="J213" s="2" t="s">
        <v>967</v>
      </c>
      <c r="K213" s="3">
        <v>46071</v>
      </c>
    </row>
    <row r="214" spans="3:11">
      <c r="C214" s="2"/>
      <c r="E214" s="1"/>
      <c r="F214" s="1"/>
      <c r="G214" s="3"/>
      <c r="I214" s="1"/>
      <c r="J214" s="2" t="s">
        <v>968</v>
      </c>
      <c r="K214" s="3">
        <v>46071</v>
      </c>
    </row>
    <row r="215" spans="3:11" ht="126">
      <c r="C215" s="2" t="s">
        <v>973</v>
      </c>
      <c r="D215" t="s">
        <v>974</v>
      </c>
      <c r="E215" s="1" t="s">
        <v>975</v>
      </c>
      <c r="F215" s="1" t="s">
        <v>976</v>
      </c>
      <c r="G215" s="3">
        <v>46074</v>
      </c>
      <c r="I215" s="1"/>
      <c r="J215" s="2"/>
      <c r="K215" s="3"/>
    </row>
    <row r="216" spans="3:11" ht="180">
      <c r="C216" s="2"/>
      <c r="E216" s="1"/>
      <c r="F216" s="1" t="s">
        <v>977</v>
      </c>
      <c r="G216" s="3">
        <v>46074</v>
      </c>
      <c r="I216" s="1"/>
      <c r="J216" s="2"/>
      <c r="K216" s="3"/>
    </row>
    <row r="217" spans="3:11" ht="108">
      <c r="C217" s="2" t="s">
        <v>998</v>
      </c>
      <c r="D217" t="s">
        <v>999</v>
      </c>
      <c r="E217" s="1" t="s">
        <v>1000</v>
      </c>
      <c r="F217" s="1" t="s">
        <v>1001</v>
      </c>
      <c r="G217" s="3">
        <v>46074</v>
      </c>
      <c r="I217" s="1"/>
      <c r="J217" s="2"/>
      <c r="K217" s="3"/>
    </row>
    <row r="218" spans="3:11" ht="72">
      <c r="C218" s="2"/>
      <c r="E218" s="1"/>
      <c r="F218" s="1" t="s">
        <v>1002</v>
      </c>
      <c r="G218" s="3">
        <v>46074</v>
      </c>
      <c r="I218" s="1"/>
      <c r="J218" s="2"/>
      <c r="K218" s="3"/>
    </row>
    <row r="219" spans="3:11" ht="126">
      <c r="C219" s="2" t="s">
        <v>1003</v>
      </c>
      <c r="D219" t="s">
        <v>1004</v>
      </c>
      <c r="E219" s="1" t="s">
        <v>1005</v>
      </c>
      <c r="F219" s="1" t="s">
        <v>1006</v>
      </c>
      <c r="G219" s="3">
        <v>46074</v>
      </c>
      <c r="I219" s="1"/>
      <c r="J219" s="2"/>
      <c r="K219" s="3"/>
    </row>
    <row r="220" spans="3:11">
      <c r="C220" s="2"/>
      <c r="E220" s="1"/>
      <c r="F220" s="1" t="s">
        <v>1012</v>
      </c>
      <c r="G220" s="3">
        <v>46074</v>
      </c>
      <c r="I220" s="1"/>
      <c r="J220" s="2"/>
      <c r="K220" s="3"/>
    </row>
    <row r="221" spans="3:11" ht="144">
      <c r="C221" s="2" t="s">
        <v>1007</v>
      </c>
      <c r="D221" t="s">
        <v>1009</v>
      </c>
      <c r="E221" s="1" t="s">
        <v>1008</v>
      </c>
      <c r="F221" s="1" t="s">
        <v>1010</v>
      </c>
      <c r="G221" s="3">
        <v>46074</v>
      </c>
      <c r="I221" s="1"/>
      <c r="J221" s="2"/>
      <c r="K221" s="3"/>
    </row>
    <row r="222" spans="3:11" ht="36">
      <c r="C222" s="2"/>
      <c r="E222" s="1"/>
      <c r="F222" s="1" t="s">
        <v>1011</v>
      </c>
      <c r="G222" s="3">
        <v>46074</v>
      </c>
      <c r="I222" s="1"/>
      <c r="J222" s="2"/>
      <c r="K222" s="3"/>
    </row>
    <row r="223" spans="3:11" ht="409.6">
      <c r="C223" s="2" t="s">
        <v>978</v>
      </c>
      <c r="D223" t="s">
        <v>979</v>
      </c>
      <c r="E223" s="1" t="s">
        <v>980</v>
      </c>
      <c r="F223" s="1" t="s">
        <v>981</v>
      </c>
      <c r="G223" s="3">
        <v>46074</v>
      </c>
      <c r="I223" s="1"/>
      <c r="J223" s="2"/>
      <c r="K223" s="3"/>
    </row>
    <row r="224" spans="3:11" ht="90">
      <c r="C224" s="2"/>
      <c r="E224" s="1"/>
      <c r="F224" s="1" t="s">
        <v>982</v>
      </c>
      <c r="G224" s="3">
        <v>46074</v>
      </c>
      <c r="I224" s="1"/>
      <c r="J224" s="2"/>
      <c r="K224" s="3"/>
    </row>
    <row r="225" spans="3:11" ht="108">
      <c r="C225" s="2" t="s">
        <v>1013</v>
      </c>
      <c r="D225" t="s">
        <v>1014</v>
      </c>
      <c r="E225" s="1" t="s">
        <v>1015</v>
      </c>
      <c r="F225" s="7" t="s">
        <v>1016</v>
      </c>
      <c r="G225" s="3">
        <v>46074</v>
      </c>
      <c r="I225" s="1"/>
      <c r="J225" s="2"/>
      <c r="K225" s="3"/>
    </row>
    <row r="226" spans="3:11">
      <c r="C226" s="2"/>
      <c r="E226" s="1"/>
      <c r="F226" s="7" t="s">
        <v>1017</v>
      </c>
      <c r="G226" s="3">
        <v>46074</v>
      </c>
      <c r="I226" s="1"/>
      <c r="J226" s="2"/>
      <c r="K226" s="3"/>
    </row>
    <row r="227" spans="3:11" ht="306">
      <c r="C227" s="2" t="s">
        <v>983</v>
      </c>
      <c r="D227" t="s">
        <v>984</v>
      </c>
      <c r="E227" s="1" t="s">
        <v>985</v>
      </c>
      <c r="F227" s="1" t="s">
        <v>986</v>
      </c>
      <c r="G227" s="3">
        <v>46074</v>
      </c>
      <c r="I227" s="1"/>
      <c r="J227" s="2"/>
      <c r="K227" s="3"/>
    </row>
    <row r="228" spans="3:11">
      <c r="C228" s="2"/>
      <c r="E228" s="1"/>
      <c r="F228" s="1" t="s">
        <v>987</v>
      </c>
      <c r="G228" s="3">
        <v>46074</v>
      </c>
      <c r="I228" s="1"/>
      <c r="J228" s="2"/>
      <c r="K228" s="3"/>
    </row>
    <row r="229" spans="3:11" ht="180">
      <c r="C229" s="2" t="s">
        <v>1018</v>
      </c>
      <c r="D229" t="s">
        <v>1019</v>
      </c>
      <c r="E229" s="1" t="s">
        <v>1020</v>
      </c>
      <c r="F229" s="1" t="s">
        <v>1021</v>
      </c>
      <c r="G229" s="3">
        <v>46074</v>
      </c>
      <c r="I229" s="1"/>
      <c r="J229" s="2"/>
      <c r="K229" s="3"/>
    </row>
    <row r="230" spans="3:11">
      <c r="C230" s="2"/>
      <c r="E230" s="1"/>
      <c r="F230" s="1" t="s">
        <v>1022</v>
      </c>
      <c r="G230" s="3">
        <v>46074</v>
      </c>
      <c r="I230" s="1"/>
      <c r="J230" s="2"/>
      <c r="K230" s="3"/>
    </row>
    <row r="231" spans="3:11" ht="162">
      <c r="C231" s="2" t="s">
        <v>988</v>
      </c>
      <c r="D231" t="s">
        <v>989</v>
      </c>
      <c r="E231" s="1" t="s">
        <v>990</v>
      </c>
      <c r="F231" s="1" t="s">
        <v>991</v>
      </c>
      <c r="G231" s="3">
        <v>46074</v>
      </c>
      <c r="I231" s="1"/>
      <c r="J231" s="2"/>
      <c r="K231" s="3"/>
    </row>
    <row r="232" spans="3:11" ht="180">
      <c r="C232" s="2"/>
      <c r="E232" s="1"/>
      <c r="F232" s="1" t="s">
        <v>992</v>
      </c>
      <c r="G232" s="3">
        <v>46074</v>
      </c>
      <c r="I232" s="1"/>
      <c r="J232" s="2"/>
      <c r="K232" s="3"/>
    </row>
    <row r="233" spans="3:11" ht="144">
      <c r="C233" s="2" t="s">
        <v>993</v>
      </c>
      <c r="D233" t="s">
        <v>994</v>
      </c>
      <c r="E233" s="1" t="s">
        <v>995</v>
      </c>
      <c r="F233" s="1" t="s">
        <v>996</v>
      </c>
      <c r="G233" s="3">
        <v>46074</v>
      </c>
      <c r="I233" s="1"/>
      <c r="J233" s="2"/>
      <c r="K233" s="3"/>
    </row>
    <row r="234" spans="3:11" ht="36">
      <c r="C234" s="2"/>
      <c r="E234" s="1"/>
      <c r="F234" s="1" t="s">
        <v>1023</v>
      </c>
      <c r="G234" s="3">
        <v>46074</v>
      </c>
      <c r="I234" s="1" t="s">
        <v>873</v>
      </c>
      <c r="J234" s="2"/>
      <c r="K234" s="3"/>
    </row>
    <row r="235" spans="3:11" ht="54">
      <c r="C235" s="2"/>
      <c r="E235" s="1"/>
      <c r="F235" s="1" t="s">
        <v>997</v>
      </c>
      <c r="G235" s="3"/>
      <c r="I235" s="1"/>
      <c r="J235" s="2"/>
      <c r="K235" s="3"/>
    </row>
    <row r="236" spans="3:11" ht="162">
      <c r="C236" s="2" t="s">
        <v>1024</v>
      </c>
      <c r="D236" t="s">
        <v>1025</v>
      </c>
      <c r="E236" s="1" t="s">
        <v>1026</v>
      </c>
      <c r="F236" s="1" t="s">
        <v>1027</v>
      </c>
      <c r="G236" s="3"/>
      <c r="I236" s="1"/>
      <c r="J236" s="2" t="s">
        <v>1028</v>
      </c>
      <c r="K236" s="3"/>
    </row>
    <row r="237" spans="3:11">
      <c r="C237" s="2"/>
      <c r="E237" s="1"/>
      <c r="F237" s="1" t="s">
        <v>1029</v>
      </c>
      <c r="G237" s="3"/>
      <c r="I237" s="1"/>
      <c r="J237" s="2" t="s">
        <v>1030</v>
      </c>
      <c r="K237" s="3"/>
    </row>
    <row r="238" spans="3:11" ht="76.2">
      <c r="C238" s="2" t="s">
        <v>1034</v>
      </c>
      <c r="D238" t="s">
        <v>1035</v>
      </c>
      <c r="E238" s="8" t="s">
        <v>1036</v>
      </c>
      <c r="F238" s="1" t="s">
        <v>1037</v>
      </c>
      <c r="G238" s="3"/>
      <c r="I238" s="1"/>
      <c r="J238" s="2"/>
      <c r="K238" s="3"/>
    </row>
    <row r="239" spans="3:11">
      <c r="C239" s="2"/>
      <c r="E239" s="8"/>
      <c r="F239" s="1" t="s">
        <v>1038</v>
      </c>
      <c r="G239" s="3"/>
      <c r="I239" s="1"/>
      <c r="J239" s="2" t="s">
        <v>1033</v>
      </c>
      <c r="K239" s="3"/>
    </row>
    <row r="240" spans="3:11" ht="162">
      <c r="C240" s="2" t="s">
        <v>1039</v>
      </c>
      <c r="D240" t="s">
        <v>1040</v>
      </c>
      <c r="E240" s="8" t="s">
        <v>1041</v>
      </c>
      <c r="F240" s="1" t="s">
        <v>1042</v>
      </c>
      <c r="G240" s="3">
        <v>46077</v>
      </c>
      <c r="I240" s="1"/>
      <c r="J240" s="2"/>
      <c r="K240" s="3"/>
    </row>
    <row r="241" spans="3:11" ht="162">
      <c r="C241" s="2"/>
      <c r="E241" s="8"/>
      <c r="F241" s="1" t="s">
        <v>1043</v>
      </c>
      <c r="G241" s="3"/>
      <c r="I241" s="1"/>
      <c r="J241" s="2"/>
      <c r="K241" s="3"/>
    </row>
    <row r="242" spans="3:11" ht="144">
      <c r="C242" s="2" t="s">
        <v>1044</v>
      </c>
      <c r="D242" t="s">
        <v>1045</v>
      </c>
      <c r="E242" s="8" t="s">
        <v>1046</v>
      </c>
      <c r="F242" s="1" t="s">
        <v>1047</v>
      </c>
      <c r="G242" s="3">
        <v>46078</v>
      </c>
      <c r="I242" s="1"/>
      <c r="J242" s="2"/>
      <c r="K242" s="3"/>
    </row>
    <row r="243" spans="3:11" ht="144">
      <c r="C243" s="2"/>
      <c r="E243" s="8"/>
      <c r="F243" s="1" t="s">
        <v>1048</v>
      </c>
      <c r="G243" s="3">
        <v>46078</v>
      </c>
      <c r="I243" s="1"/>
      <c r="J243" s="2"/>
      <c r="K243" s="3"/>
    </row>
    <row r="244" spans="3:11" ht="112.2">
      <c r="C244" s="2" t="s">
        <v>1051</v>
      </c>
      <c r="D244" t="s">
        <v>1052</v>
      </c>
      <c r="E244" s="8" t="s">
        <v>1053</v>
      </c>
      <c r="F244" s="1" t="s">
        <v>1054</v>
      </c>
      <c r="G244" s="3"/>
      <c r="I244" s="1"/>
      <c r="J244" s="2"/>
      <c r="K244" s="3"/>
    </row>
    <row r="245" spans="3:11">
      <c r="C245" s="2"/>
      <c r="E245" s="8"/>
      <c r="F245" s="1" t="s">
        <v>1055</v>
      </c>
      <c r="G245" s="3"/>
      <c r="I245" s="1"/>
      <c r="J245" s="2"/>
      <c r="K245" s="3"/>
    </row>
    <row r="246" spans="3:11" ht="54">
      <c r="C246" s="2"/>
      <c r="E246" s="8"/>
      <c r="F246" s="1" t="s">
        <v>1056</v>
      </c>
      <c r="G246" s="3"/>
      <c r="H246" s="3">
        <v>46079</v>
      </c>
      <c r="I246" s="1"/>
      <c r="J246" s="2"/>
      <c r="K246" s="3"/>
    </row>
    <row r="247" spans="3:11" ht="90">
      <c r="C247" s="2" t="s">
        <v>922</v>
      </c>
      <c r="D247" t="s">
        <v>923</v>
      </c>
      <c r="E247" s="1" t="s">
        <v>924</v>
      </c>
      <c r="F247" t="s">
        <v>926</v>
      </c>
      <c r="I247" t="s">
        <v>929</v>
      </c>
    </row>
    <row r="248" spans="3:11" ht="234">
      <c r="E248" s="1" t="s">
        <v>925</v>
      </c>
      <c r="F248" s="1" t="s">
        <v>927</v>
      </c>
      <c r="I248" s="1" t="s">
        <v>928</v>
      </c>
      <c r="J248" s="1" t="s">
        <v>794</v>
      </c>
    </row>
    <row r="249" spans="3:11" ht="234">
      <c r="F249" s="1" t="s">
        <v>930</v>
      </c>
      <c r="I249" s="1" t="s">
        <v>959</v>
      </c>
      <c r="J249" t="s">
        <v>794</v>
      </c>
    </row>
    <row r="250" spans="3:11" ht="306">
      <c r="F250" s="1" t="s">
        <v>931</v>
      </c>
      <c r="I250" s="1" t="s">
        <v>932</v>
      </c>
      <c r="J250" t="s">
        <v>794</v>
      </c>
    </row>
    <row r="251" spans="3:11" ht="180">
      <c r="F251" s="1" t="s">
        <v>933</v>
      </c>
      <c r="I251" s="1" t="s">
        <v>934</v>
      </c>
      <c r="J251" t="s">
        <v>794</v>
      </c>
    </row>
    <row r="252" spans="3:11" ht="72">
      <c r="F252" s="1" t="s">
        <v>935</v>
      </c>
      <c r="I252" s="1" t="s">
        <v>936</v>
      </c>
      <c r="J252" t="s">
        <v>794</v>
      </c>
    </row>
    <row r="253" spans="3:11" ht="54">
      <c r="F253" s="1" t="s">
        <v>937</v>
      </c>
      <c r="I253" s="1" t="s">
        <v>938</v>
      </c>
      <c r="J253" t="s">
        <v>794</v>
      </c>
    </row>
    <row r="254" spans="3:11" ht="234">
      <c r="F254" s="1" t="s">
        <v>939</v>
      </c>
      <c r="I254" s="1" t="s">
        <v>940</v>
      </c>
      <c r="J254" t="s">
        <v>794</v>
      </c>
    </row>
    <row r="255" spans="3:11" ht="72">
      <c r="F255" s="1" t="s">
        <v>941</v>
      </c>
      <c r="I255" s="1" t="s">
        <v>942</v>
      </c>
      <c r="J255" t="s">
        <v>794</v>
      </c>
    </row>
    <row r="256" spans="3:11" ht="162">
      <c r="F256" s="1" t="s">
        <v>943</v>
      </c>
      <c r="I256" s="1" t="s">
        <v>944</v>
      </c>
      <c r="J256" t="s">
        <v>794</v>
      </c>
    </row>
    <row r="257" spans="6:10" ht="90">
      <c r="F257" s="1" t="s">
        <v>945</v>
      </c>
      <c r="I257" s="1" t="s">
        <v>946</v>
      </c>
      <c r="J257" t="s">
        <v>794</v>
      </c>
    </row>
    <row r="258" spans="6:10" ht="108">
      <c r="F258" s="1" t="s">
        <v>947</v>
      </c>
      <c r="I258" s="1" t="s">
        <v>948</v>
      </c>
      <c r="J258" t="s">
        <v>794</v>
      </c>
    </row>
    <row r="259" spans="6:10" ht="126">
      <c r="F259" s="1" t="s">
        <v>949</v>
      </c>
      <c r="I259" s="1" t="s">
        <v>950</v>
      </c>
      <c r="J259" t="s">
        <v>794</v>
      </c>
    </row>
    <row r="260" spans="6:10" ht="36">
      <c r="F260" s="1" t="s">
        <v>951</v>
      </c>
      <c r="I260" s="1" t="s">
        <v>952</v>
      </c>
      <c r="J260" t="s">
        <v>794</v>
      </c>
    </row>
    <row r="261" spans="6:10" ht="198">
      <c r="F261" s="1" t="s">
        <v>953</v>
      </c>
      <c r="I261" s="1" t="s">
        <v>954</v>
      </c>
      <c r="J261" t="s">
        <v>794</v>
      </c>
    </row>
    <row r="262" spans="6:10" ht="162">
      <c r="F262" s="1" t="s">
        <v>955</v>
      </c>
      <c r="I262" s="1" t="s">
        <v>956</v>
      </c>
      <c r="J262" t="s">
        <v>794</v>
      </c>
    </row>
    <row r="263" spans="6:10" ht="36">
      <c r="F263" s="1" t="s">
        <v>957</v>
      </c>
      <c r="I263" s="1" t="s">
        <v>958</v>
      </c>
      <c r="J263" t="s">
        <v>794</v>
      </c>
    </row>
    <row r="264" spans="6:10" ht="342">
      <c r="F264" s="1" t="s">
        <v>969</v>
      </c>
      <c r="I264" s="1" t="s">
        <v>970</v>
      </c>
      <c r="J264" t="s">
        <v>794</v>
      </c>
    </row>
    <row r="265" spans="6:10" ht="108">
      <c r="F265" s="1" t="s">
        <v>971</v>
      </c>
      <c r="I265" s="1" t="s">
        <v>972</v>
      </c>
      <c r="J265" t="s">
        <v>794</v>
      </c>
    </row>
    <row r="266" spans="6:10" ht="144">
      <c r="F266" s="1" t="s">
        <v>1031</v>
      </c>
      <c r="I266" s="1" t="s">
        <v>1032</v>
      </c>
      <c r="J266" t="s">
        <v>794</v>
      </c>
    </row>
    <row r="267" spans="6:10" ht="144">
      <c r="F267" s="1" t="s">
        <v>1049</v>
      </c>
      <c r="I267" s="1" t="s">
        <v>1050</v>
      </c>
    </row>
  </sheetData>
  <autoFilter ref="C2:M263"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47"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1" r:id="rId25" xr:uid="{AFA7517A-572D-477E-B984-153B9CD6C158}"/>
    <hyperlink ref="C233"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 ref="C236" r:id="rId32" xr:uid="{16FB4C74-B35E-4381-8C82-E1841CCC651D}"/>
    <hyperlink ref="J236" r:id="rId33" xr:uid="{92A59977-7DC9-4B46-9DF2-0A34D3DB0216}"/>
    <hyperlink ref="J237" r:id="rId34" xr:uid="{F8ED0ABB-2C8B-40F8-96D6-6FC74FCC873A}"/>
    <hyperlink ref="J239" r:id="rId35" xr:uid="{838FE480-B1ED-4281-B876-B5C0B4EE1841}"/>
    <hyperlink ref="C238" r:id="rId36" xr:uid="{75BF8FA4-90B6-4893-ADD3-68EE59647F02}"/>
    <hyperlink ref="C240" r:id="rId37" xr:uid="{88B2E340-F84B-47C9-BB8F-55D46C8D7864}"/>
    <hyperlink ref="C242" r:id="rId38" xr:uid="{74567D11-219B-4567-B91E-CE4CD19D306A}"/>
    <hyperlink ref="C244" r:id="rId39" xr:uid="{BCA4FCE5-10D6-4470-AD75-F0DF72DEDB7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19921875" defaultRowHeight="18"/>
  <cols>
    <col min="1" max="1" width="77.5" bestFit="1" customWidth="1"/>
    <col min="2" max="2" width="10.19921875" bestFit="1" customWidth="1"/>
    <col min="3" max="3" width="17.09765625" bestFit="1" customWidth="1"/>
    <col min="4" max="4" width="9.19921875" bestFit="1" customWidth="1"/>
    <col min="5" max="5" width="10.19921875" bestFit="1" customWidth="1"/>
    <col min="6" max="6" width="17.09765625" bestFit="1" customWidth="1"/>
    <col min="7" max="7" width="9.19921875" bestFit="1" customWidth="1"/>
    <col min="8" max="8" width="9" bestFit="1" customWidth="1"/>
    <col min="9" max="9" width="7.09765625" bestFit="1" customWidth="1"/>
  </cols>
  <sheetData>
    <row r="1" spans="1:10">
      <c r="A1" t="s">
        <v>635</v>
      </c>
      <c r="B1" t="s">
        <v>674</v>
      </c>
      <c r="C1" t="s">
        <v>675</v>
      </c>
      <c r="D1" t="s">
        <v>678</v>
      </c>
      <c r="E1" t="s">
        <v>674</v>
      </c>
      <c r="F1" t="s">
        <v>675</v>
      </c>
      <c r="G1" t="s">
        <v>678</v>
      </c>
      <c r="H1" t="s">
        <v>915</v>
      </c>
      <c r="I1" t="s">
        <v>793</v>
      </c>
    </row>
    <row r="2" spans="1:10" ht="54">
      <c r="A2" s="1" t="s">
        <v>655</v>
      </c>
      <c r="B2" s="3">
        <v>46066</v>
      </c>
      <c r="C2">
        <v>31</v>
      </c>
      <c r="D2">
        <v>3642</v>
      </c>
      <c r="E2" s="3">
        <v>46067</v>
      </c>
      <c r="F2">
        <v>136</v>
      </c>
      <c r="G2">
        <v>3649</v>
      </c>
      <c r="H2">
        <v>2</v>
      </c>
      <c r="I2">
        <v>3</v>
      </c>
      <c r="J2" t="s">
        <v>794</v>
      </c>
    </row>
    <row r="3" spans="1:10" ht="198">
      <c r="A3" s="1" t="s">
        <v>656</v>
      </c>
      <c r="B3" s="3">
        <v>46066</v>
      </c>
      <c r="C3">
        <v>19</v>
      </c>
      <c r="D3">
        <v>3642</v>
      </c>
      <c r="E3" s="3">
        <v>46067</v>
      </c>
      <c r="F3">
        <v>46</v>
      </c>
      <c r="G3">
        <v>3649</v>
      </c>
      <c r="H3">
        <v>2</v>
      </c>
      <c r="I3">
        <v>2</v>
      </c>
      <c r="J3" t="s">
        <v>794</v>
      </c>
    </row>
    <row r="4" spans="1:10" ht="54">
      <c r="A4" s="1" t="s">
        <v>657</v>
      </c>
      <c r="B4" s="3">
        <v>46066</v>
      </c>
      <c r="C4">
        <v>18</v>
      </c>
      <c r="D4">
        <v>3642</v>
      </c>
      <c r="E4" s="3">
        <v>46067</v>
      </c>
      <c r="F4">
        <v>38</v>
      </c>
      <c r="G4">
        <v>3649</v>
      </c>
      <c r="H4">
        <v>1</v>
      </c>
      <c r="I4">
        <v>1</v>
      </c>
      <c r="J4" t="s">
        <v>794</v>
      </c>
    </row>
    <row r="5" spans="1:10" ht="72">
      <c r="A5" s="1" t="s">
        <v>679</v>
      </c>
      <c r="B5" s="3">
        <v>46066</v>
      </c>
      <c r="C5">
        <v>26</v>
      </c>
      <c r="D5">
        <v>3642</v>
      </c>
      <c r="E5" s="3">
        <v>46067</v>
      </c>
      <c r="F5">
        <v>46</v>
      </c>
      <c r="G5">
        <v>3649</v>
      </c>
      <c r="H5">
        <v>1</v>
      </c>
      <c r="I5">
        <v>1</v>
      </c>
      <c r="J5" t="s">
        <v>794</v>
      </c>
    </row>
    <row r="6" spans="1:10" ht="252">
      <c r="A6" s="1" t="s">
        <v>680</v>
      </c>
      <c r="B6" s="3">
        <v>46066</v>
      </c>
      <c r="C6">
        <v>24</v>
      </c>
      <c r="D6">
        <v>3642</v>
      </c>
      <c r="E6" s="3">
        <v>46067</v>
      </c>
      <c r="F6">
        <v>45</v>
      </c>
      <c r="G6">
        <v>3649</v>
      </c>
      <c r="H6">
        <v>1</v>
      </c>
      <c r="I6">
        <v>1</v>
      </c>
      <c r="J6" t="s">
        <v>794</v>
      </c>
    </row>
    <row r="7" spans="1:10" ht="72">
      <c r="A7" s="1" t="s">
        <v>681</v>
      </c>
      <c r="B7" s="3">
        <v>46066</v>
      </c>
      <c r="C7">
        <v>28</v>
      </c>
      <c r="D7">
        <v>3642</v>
      </c>
      <c r="E7" s="3">
        <v>46067</v>
      </c>
      <c r="F7">
        <v>36</v>
      </c>
      <c r="G7">
        <v>3649</v>
      </c>
      <c r="H7">
        <v>2</v>
      </c>
      <c r="I7">
        <v>3</v>
      </c>
      <c r="J7" t="s">
        <v>794</v>
      </c>
    </row>
    <row r="8" spans="1:10" ht="90">
      <c r="A8" s="1" t="s">
        <v>710</v>
      </c>
      <c r="B8" s="3">
        <v>46066</v>
      </c>
      <c r="C8">
        <v>16</v>
      </c>
      <c r="D8">
        <v>3642</v>
      </c>
      <c r="E8" s="3">
        <v>46067</v>
      </c>
      <c r="F8">
        <v>36</v>
      </c>
      <c r="G8">
        <v>3649</v>
      </c>
      <c r="H8">
        <v>1</v>
      </c>
      <c r="I8">
        <v>2</v>
      </c>
      <c r="J8" t="s">
        <v>794</v>
      </c>
    </row>
    <row r="9" spans="1:10" ht="72">
      <c r="A9" s="1" t="s">
        <v>711</v>
      </c>
      <c r="B9" s="3">
        <v>46066</v>
      </c>
      <c r="C9">
        <v>28</v>
      </c>
      <c r="D9">
        <v>3642</v>
      </c>
      <c r="E9" s="3">
        <v>46067</v>
      </c>
      <c r="F9">
        <v>60</v>
      </c>
      <c r="G9">
        <v>3649</v>
      </c>
      <c r="H9">
        <v>2</v>
      </c>
      <c r="I9">
        <v>2</v>
      </c>
      <c r="J9" t="s">
        <v>794</v>
      </c>
    </row>
    <row r="10" spans="1:10" ht="54">
      <c r="A10" s="1" t="s">
        <v>712</v>
      </c>
      <c r="B10" s="3">
        <v>46066</v>
      </c>
      <c r="C10">
        <v>17</v>
      </c>
      <c r="D10">
        <v>3642</v>
      </c>
      <c r="E10" s="3">
        <v>46067</v>
      </c>
      <c r="F10">
        <v>35</v>
      </c>
      <c r="G10">
        <v>3649</v>
      </c>
      <c r="H10">
        <v>1</v>
      </c>
      <c r="I10">
        <v>1</v>
      </c>
      <c r="J10" t="s">
        <v>794</v>
      </c>
    </row>
    <row r="11" spans="1:10" ht="90">
      <c r="A11" s="1" t="s">
        <v>732</v>
      </c>
      <c r="B11" s="3">
        <v>46066</v>
      </c>
      <c r="C11">
        <v>13</v>
      </c>
      <c r="D11">
        <v>3642</v>
      </c>
      <c r="E11" s="3">
        <v>46067</v>
      </c>
      <c r="F11">
        <v>34</v>
      </c>
      <c r="G11">
        <v>3649</v>
      </c>
      <c r="H11">
        <v>1</v>
      </c>
      <c r="I11">
        <v>1</v>
      </c>
      <c r="J11" t="s">
        <v>794</v>
      </c>
    </row>
    <row r="12" spans="1:10" ht="180">
      <c r="A12" s="1" t="s">
        <v>733</v>
      </c>
      <c r="B12" s="3">
        <v>46066</v>
      </c>
      <c r="C12">
        <v>16</v>
      </c>
      <c r="D12">
        <v>3642</v>
      </c>
      <c r="E12" s="3">
        <v>46067</v>
      </c>
      <c r="F12">
        <v>38</v>
      </c>
      <c r="G12">
        <v>3649</v>
      </c>
      <c r="H12">
        <v>1</v>
      </c>
      <c r="I12">
        <v>1</v>
      </c>
      <c r="J12" t="s">
        <v>794</v>
      </c>
    </row>
    <row r="13" spans="1:10" ht="72">
      <c r="A13" s="1" t="s">
        <v>734</v>
      </c>
      <c r="B13" s="3">
        <v>46066</v>
      </c>
      <c r="C13">
        <v>13</v>
      </c>
      <c r="D13">
        <v>3642</v>
      </c>
      <c r="E13" s="3">
        <v>46067</v>
      </c>
      <c r="F13">
        <v>36</v>
      </c>
      <c r="G13">
        <v>3649</v>
      </c>
      <c r="H13">
        <v>1</v>
      </c>
      <c r="I13">
        <v>1</v>
      </c>
      <c r="J13" t="s">
        <v>794</v>
      </c>
    </row>
    <row r="14" spans="1:10" ht="90">
      <c r="A14" s="1" t="s">
        <v>769</v>
      </c>
      <c r="B14" s="3">
        <v>46066</v>
      </c>
      <c r="C14">
        <v>17</v>
      </c>
      <c r="D14">
        <v>3642</v>
      </c>
      <c r="E14" s="3">
        <v>46067</v>
      </c>
      <c r="F14">
        <v>42</v>
      </c>
      <c r="G14">
        <v>3649</v>
      </c>
      <c r="H14">
        <v>1</v>
      </c>
      <c r="I14">
        <v>1</v>
      </c>
      <c r="J14" t="s">
        <v>794</v>
      </c>
    </row>
    <row r="15" spans="1:10" ht="72">
      <c r="A15" s="1" t="s">
        <v>770</v>
      </c>
      <c r="B15" s="3">
        <v>46066</v>
      </c>
      <c r="C15">
        <v>11</v>
      </c>
      <c r="D15">
        <v>3642</v>
      </c>
      <c r="E15" s="3">
        <v>46067</v>
      </c>
      <c r="F15">
        <v>33</v>
      </c>
      <c r="G15">
        <v>3649</v>
      </c>
      <c r="H15">
        <v>1</v>
      </c>
      <c r="I15">
        <v>1</v>
      </c>
      <c r="J15" t="s">
        <v>794</v>
      </c>
    </row>
    <row r="16" spans="1:10" ht="72">
      <c r="A16" s="1" t="s">
        <v>771</v>
      </c>
      <c r="B16" s="3">
        <v>46066</v>
      </c>
      <c r="C16">
        <v>15</v>
      </c>
      <c r="D16">
        <v>3642</v>
      </c>
      <c r="E16" s="3">
        <v>46067</v>
      </c>
      <c r="F16">
        <v>39</v>
      </c>
      <c r="G16">
        <v>3649</v>
      </c>
      <c r="H16">
        <v>1</v>
      </c>
      <c r="I16">
        <v>1</v>
      </c>
      <c r="J16" t="s">
        <v>794</v>
      </c>
    </row>
    <row r="17" spans="1:10" ht="162">
      <c r="A17" s="1" t="s">
        <v>790</v>
      </c>
      <c r="B17" s="3">
        <v>46066</v>
      </c>
      <c r="C17">
        <v>3</v>
      </c>
      <c r="D17">
        <v>3642</v>
      </c>
      <c r="E17" s="3">
        <v>46067</v>
      </c>
      <c r="F17">
        <v>33</v>
      </c>
      <c r="G17">
        <v>3649</v>
      </c>
      <c r="H17">
        <v>1</v>
      </c>
      <c r="I17">
        <v>1</v>
      </c>
      <c r="J17" t="s">
        <v>794</v>
      </c>
    </row>
    <row r="18" spans="1:10" ht="144">
      <c r="A18" s="1" t="s">
        <v>791</v>
      </c>
      <c r="B18" s="3">
        <v>46066</v>
      </c>
      <c r="C18">
        <v>3</v>
      </c>
      <c r="D18">
        <v>3642</v>
      </c>
      <c r="E18" s="3">
        <v>46067</v>
      </c>
      <c r="F18">
        <v>50</v>
      </c>
      <c r="G18">
        <v>3649</v>
      </c>
      <c r="H18">
        <v>1</v>
      </c>
      <c r="I18">
        <v>1</v>
      </c>
      <c r="J18" t="s">
        <v>794</v>
      </c>
    </row>
    <row r="19" spans="1:10" ht="90">
      <c r="A19" s="1" t="s">
        <v>792</v>
      </c>
      <c r="B19" s="3">
        <v>46066</v>
      </c>
      <c r="C19">
        <v>3</v>
      </c>
      <c r="D19">
        <v>3642</v>
      </c>
      <c r="E19" s="3">
        <v>46067</v>
      </c>
      <c r="F19">
        <v>28</v>
      </c>
      <c r="G19">
        <v>3649</v>
      </c>
      <c r="H19">
        <v>1</v>
      </c>
      <c r="I19">
        <v>1</v>
      </c>
      <c r="J19" t="s">
        <v>794</v>
      </c>
    </row>
    <row r="20" spans="1:10" ht="90">
      <c r="A20" s="1" t="s">
        <v>865</v>
      </c>
      <c r="B20" s="3">
        <v>46068</v>
      </c>
      <c r="C20">
        <v>13</v>
      </c>
      <c r="D20">
        <v>3640</v>
      </c>
      <c r="E20" s="3">
        <v>46071</v>
      </c>
      <c r="F20">
        <v>32</v>
      </c>
      <c r="G20">
        <v>3649</v>
      </c>
      <c r="H20">
        <v>1</v>
      </c>
      <c r="I20">
        <v>1</v>
      </c>
      <c r="J20" t="s">
        <v>794</v>
      </c>
    </row>
    <row r="21" spans="1:10" ht="90">
      <c r="A21" s="1" t="s">
        <v>866</v>
      </c>
      <c r="B21" s="3">
        <v>46068</v>
      </c>
      <c r="C21">
        <v>11</v>
      </c>
      <c r="D21">
        <v>3640</v>
      </c>
      <c r="E21" s="3">
        <v>46071</v>
      </c>
      <c r="F21">
        <v>25</v>
      </c>
      <c r="G21">
        <v>3649</v>
      </c>
      <c r="H21">
        <v>1</v>
      </c>
      <c r="I21">
        <v>1</v>
      </c>
      <c r="J21" t="s">
        <v>794</v>
      </c>
    </row>
    <row r="22" spans="1:10" ht="54">
      <c r="A22" s="1" t="s">
        <v>867</v>
      </c>
      <c r="B22" s="3">
        <v>46068</v>
      </c>
      <c r="C22">
        <v>13</v>
      </c>
      <c r="D22">
        <v>3640</v>
      </c>
      <c r="E22" s="3">
        <v>46071</v>
      </c>
      <c r="F22">
        <v>35</v>
      </c>
      <c r="G22">
        <v>3649</v>
      </c>
      <c r="H22">
        <v>1</v>
      </c>
      <c r="I22">
        <v>1</v>
      </c>
      <c r="J22" t="s">
        <v>794</v>
      </c>
    </row>
    <row r="23" spans="1:10">
      <c r="A23" s="2" t="s">
        <v>874</v>
      </c>
      <c r="B23" s="3">
        <v>46068</v>
      </c>
      <c r="C23">
        <v>6</v>
      </c>
      <c r="D23">
        <v>3639</v>
      </c>
      <c r="E23" s="3">
        <v>46071</v>
      </c>
      <c r="F23">
        <v>27</v>
      </c>
      <c r="G23">
        <v>3649</v>
      </c>
      <c r="H23">
        <v>1</v>
      </c>
      <c r="I23">
        <v>1</v>
      </c>
      <c r="J23" t="s">
        <v>794</v>
      </c>
    </row>
    <row r="24" spans="1:10">
      <c r="A24" s="2" t="s">
        <v>875</v>
      </c>
      <c r="B24" s="3">
        <v>46068</v>
      </c>
      <c r="C24">
        <v>8</v>
      </c>
      <c r="D24">
        <v>3639</v>
      </c>
      <c r="E24" s="3">
        <v>46071</v>
      </c>
      <c r="F24">
        <v>24</v>
      </c>
      <c r="G24">
        <v>3649</v>
      </c>
      <c r="H24">
        <v>1</v>
      </c>
      <c r="I24">
        <v>1</v>
      </c>
      <c r="J24" t="s">
        <v>794</v>
      </c>
    </row>
    <row r="25" spans="1:10">
      <c r="A25" s="2" t="s">
        <v>876</v>
      </c>
      <c r="B25" s="3">
        <v>46068</v>
      </c>
      <c r="C25">
        <v>5</v>
      </c>
      <c r="D25">
        <v>3639</v>
      </c>
      <c r="E25" s="3">
        <v>46071</v>
      </c>
      <c r="F25">
        <v>23</v>
      </c>
      <c r="G25">
        <v>3649</v>
      </c>
      <c r="H25">
        <v>1</v>
      </c>
      <c r="I25">
        <v>1</v>
      </c>
      <c r="J25" t="s">
        <v>794</v>
      </c>
    </row>
    <row r="26" spans="1:10" ht="108">
      <c r="A26" s="1" t="s">
        <v>892</v>
      </c>
      <c r="B26" s="3">
        <v>46068</v>
      </c>
      <c r="C26">
        <v>8</v>
      </c>
      <c r="D26">
        <v>3639</v>
      </c>
      <c r="E26" s="3">
        <v>46071</v>
      </c>
      <c r="F26">
        <v>51</v>
      </c>
      <c r="G26">
        <v>3649</v>
      </c>
      <c r="H26">
        <v>1</v>
      </c>
      <c r="I26">
        <v>1</v>
      </c>
      <c r="J26" t="s">
        <v>794</v>
      </c>
    </row>
    <row r="27" spans="1:10" ht="108">
      <c r="A27" s="1" t="s">
        <v>893</v>
      </c>
      <c r="B27" s="3">
        <v>46068</v>
      </c>
      <c r="C27">
        <v>3</v>
      </c>
      <c r="D27">
        <v>3639</v>
      </c>
      <c r="E27" s="3">
        <v>46071</v>
      </c>
      <c r="F27">
        <v>23</v>
      </c>
      <c r="G27">
        <v>3649</v>
      </c>
      <c r="H27">
        <v>1</v>
      </c>
      <c r="I27">
        <v>1</v>
      </c>
      <c r="J27" t="s">
        <v>794</v>
      </c>
    </row>
    <row r="28" spans="1:10" ht="72">
      <c r="A28" s="1" t="s">
        <v>894</v>
      </c>
      <c r="B28" s="3">
        <v>46068</v>
      </c>
      <c r="C28">
        <v>1</v>
      </c>
      <c r="D28">
        <v>3639</v>
      </c>
      <c r="E28" s="3">
        <v>46071</v>
      </c>
      <c r="F28">
        <v>27</v>
      </c>
      <c r="G28">
        <v>3649</v>
      </c>
      <c r="H28">
        <v>1</v>
      </c>
      <c r="I28">
        <v>1</v>
      </c>
      <c r="J28" t="s">
        <v>794</v>
      </c>
    </row>
    <row r="29" spans="1:10">
      <c r="A29" s="1" t="s">
        <v>899</v>
      </c>
      <c r="B29" s="3">
        <v>46069</v>
      </c>
      <c r="H29">
        <v>2</v>
      </c>
    </row>
    <row r="30" spans="1:10" ht="72">
      <c r="A30" s="1" t="s">
        <v>912</v>
      </c>
      <c r="B30" s="3">
        <v>46069</v>
      </c>
      <c r="C30">
        <v>17</v>
      </c>
      <c r="D30">
        <v>3642</v>
      </c>
      <c r="E30" s="3">
        <v>46071</v>
      </c>
      <c r="F30">
        <v>35</v>
      </c>
      <c r="G30">
        <v>3649</v>
      </c>
      <c r="H30">
        <v>1</v>
      </c>
      <c r="I30">
        <v>1</v>
      </c>
      <c r="J30" t="s">
        <v>794</v>
      </c>
    </row>
    <row r="31" spans="1:10" ht="72">
      <c r="A31" s="1" t="s">
        <v>913</v>
      </c>
      <c r="B31" s="3">
        <v>46069</v>
      </c>
      <c r="C31">
        <v>21</v>
      </c>
      <c r="D31">
        <v>3642</v>
      </c>
      <c r="E31" s="3">
        <v>46071</v>
      </c>
      <c r="F31">
        <v>51</v>
      </c>
      <c r="G31">
        <v>3649</v>
      </c>
      <c r="H31">
        <v>1</v>
      </c>
      <c r="I31">
        <v>1</v>
      </c>
      <c r="J31" t="s">
        <v>794</v>
      </c>
    </row>
    <row r="32" spans="1:10" ht="54">
      <c r="A32" s="1" t="s">
        <v>914</v>
      </c>
      <c r="B32" s="3">
        <v>46069</v>
      </c>
      <c r="C32">
        <v>23</v>
      </c>
      <c r="D32">
        <v>3642</v>
      </c>
      <c r="E32" s="3">
        <v>46071</v>
      </c>
      <c r="F32">
        <v>50</v>
      </c>
      <c r="G32">
        <v>3649</v>
      </c>
      <c r="H32">
        <v>1</v>
      </c>
      <c r="I32">
        <v>1</v>
      </c>
      <c r="J32" t="s">
        <v>794</v>
      </c>
    </row>
    <row r="33" spans="1:10">
      <c r="A33" s="2" t="s">
        <v>921</v>
      </c>
      <c r="B33" s="3">
        <v>46071</v>
      </c>
      <c r="E33" s="3">
        <v>46071</v>
      </c>
      <c r="F33">
        <v>14</v>
      </c>
      <c r="G33">
        <v>3649</v>
      </c>
      <c r="H33">
        <v>1</v>
      </c>
      <c r="I33">
        <v>1</v>
      </c>
      <c r="J33" t="s">
        <v>794</v>
      </c>
    </row>
    <row r="34" spans="1:10">
      <c r="A34" s="2" t="s">
        <v>966</v>
      </c>
      <c r="B34" s="3">
        <v>46071</v>
      </c>
      <c r="E34" s="3">
        <v>46071</v>
      </c>
      <c r="F34">
        <v>5</v>
      </c>
      <c r="G34">
        <v>3649</v>
      </c>
      <c r="H34">
        <v>1</v>
      </c>
      <c r="I34">
        <v>1</v>
      </c>
      <c r="J34" t="s">
        <v>794</v>
      </c>
    </row>
    <row r="35" spans="1:10">
      <c r="A35" s="2" t="s">
        <v>967</v>
      </c>
      <c r="B35" s="3">
        <v>46071</v>
      </c>
      <c r="E35" s="3">
        <v>46071</v>
      </c>
      <c r="F35">
        <v>6</v>
      </c>
      <c r="G35">
        <v>3649</v>
      </c>
      <c r="H35">
        <v>1</v>
      </c>
      <c r="I35">
        <v>1</v>
      </c>
      <c r="J35" t="s">
        <v>794</v>
      </c>
    </row>
    <row r="36" spans="1:10">
      <c r="A36" s="2" t="s">
        <v>968</v>
      </c>
      <c r="B36" s="3">
        <v>46071</v>
      </c>
      <c r="E36" s="3">
        <v>46071</v>
      </c>
      <c r="F36">
        <v>3</v>
      </c>
      <c r="G36">
        <v>3649</v>
      </c>
      <c r="H36">
        <v>1</v>
      </c>
      <c r="I36">
        <v>1</v>
      </c>
      <c r="J36" t="s">
        <v>794</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
  <cols>
    <col min="2" max="2" width="10.19921875" bestFit="1" customWidth="1"/>
    <col min="4" max="4" width="10.19921875" bestFit="1" customWidth="1"/>
    <col min="5" max="5" width="15.09765625" bestFit="1" customWidth="1"/>
    <col min="6" max="6" width="3.3984375" bestFit="1" customWidth="1"/>
    <col min="7" max="9" width="10.1992187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A8B76-448C-412D-8BE5-3DD6B31F5B46}">
  <dimension ref="C3:E7"/>
  <sheetViews>
    <sheetView tabSelected="1" workbookViewId="0">
      <selection activeCell="E8" sqref="E8"/>
    </sheetView>
  </sheetViews>
  <sheetFormatPr defaultRowHeight="18"/>
  <cols>
    <col min="3" max="3" width="39.8984375" customWidth="1"/>
    <col min="4" max="4" width="9.19921875" bestFit="1" customWidth="1"/>
  </cols>
  <sheetData>
    <row r="3" spans="3:5" ht="54">
      <c r="C3" s="1" t="s">
        <v>1059</v>
      </c>
      <c r="D3" s="3">
        <v>46084</v>
      </c>
      <c r="E3" s="6">
        <v>0.86041666666666672</v>
      </c>
    </row>
    <row r="4" spans="3:5" ht="72">
      <c r="C4" s="1" t="s">
        <v>1060</v>
      </c>
      <c r="D4" s="3">
        <v>46084</v>
      </c>
      <c r="E4" s="6">
        <v>0.86041666666666672</v>
      </c>
    </row>
    <row r="5" spans="3:5" ht="54">
      <c r="C5" s="1" t="s">
        <v>1061</v>
      </c>
      <c r="D5" s="3">
        <v>46084</v>
      </c>
      <c r="E5" s="6">
        <v>0.86111111111111116</v>
      </c>
    </row>
    <row r="6" spans="3:5" ht="162">
      <c r="C6" s="1" t="s">
        <v>1062</v>
      </c>
      <c r="D6" s="3">
        <v>46084</v>
      </c>
      <c r="E6" s="6">
        <v>0.89513888888888893</v>
      </c>
    </row>
    <row r="7" spans="3:5" ht="90">
      <c r="C7" s="1" t="s">
        <v>1063</v>
      </c>
      <c r="D7" s="3">
        <v>46084</v>
      </c>
      <c r="E7" s="6">
        <v>0.91319444444444442</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24</vt:i4>
      </vt:variant>
    </vt:vector>
  </HeadingPairs>
  <TitlesOfParts>
    <vt:vector size="24"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Gemini Code Assist</vt:lpstr>
      <vt:lpstr>Gemini Code Assist 2</vt:lpstr>
      <vt:lpstr>CodeX</vt:lpstr>
      <vt:lpstr>How to fix</vt:lpstr>
      <vt:lpstr>1日で人生を立て直す方法</vt:lpstr>
      <vt:lpstr>x</vt:lpstr>
      <vt:lpstr>X2</vt:lpstr>
      <vt:lpstr>時記</vt:lpstr>
      <vt:lpstr>登録者数を増やす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2026-03-03T12:55:04Z</dcterms:modified>
</cp:coreProperties>
</file>